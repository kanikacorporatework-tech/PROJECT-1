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38e3f671b5eb8a49/Documents/"/>
    </mc:Choice>
  </mc:AlternateContent>
  <xr:revisionPtr revIDLastSave="580" documentId="8_{31A27B4D-1B80-4EFD-872F-3F31C7C2257E}" xr6:coauthVersionLast="47" xr6:coauthVersionMax="47" xr10:uidLastSave="{202B7B4C-0AC4-4287-A606-8669A5B80755}"/>
  <bookViews>
    <workbookView xWindow="-108" yWindow="-108" windowWidth="23256" windowHeight="12456" xr2:uid="{E7B96F73-94DC-4205-A8FA-F958CA182AAF}"/>
  </bookViews>
  <sheets>
    <sheet name="Raw Data " sheetId="1" r:id="rId1"/>
    <sheet name="Product Analysis " sheetId="2" r:id="rId2"/>
    <sheet name="Salesperson Analysis" sheetId="3" r:id="rId3"/>
    <sheet name="Region pvc" sheetId="4" r:id="rId4"/>
    <sheet name="Product pvc" sheetId="6" r:id="rId5"/>
    <sheet name="Salesperson pvc" sheetId="11" r:id="rId6"/>
    <sheet name="Pay mode pvc" sheetId="14" r:id="rId7"/>
    <sheet name="sale trend" sheetId="13" r:id="rId8"/>
    <sheet name="Dashboard" sheetId="15" r:id="rId9"/>
    <sheet name="Sheet9" sheetId="9" state="hidden" r:id="rId10"/>
  </sheets>
  <definedNames>
    <definedName name="_xlnm._FilterDatabase" localSheetId="0" hidden="1">'Raw Data '!$A$1:$O$51</definedName>
    <definedName name="Slicer_payment_mode">#N/A</definedName>
    <definedName name="Slicer_Product">#N/A</definedName>
    <definedName name="Slicer_Regi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B4" i="3"/>
  <c r="B3" i="3"/>
  <c r="B2" i="3"/>
  <c r="B9" i="2"/>
  <c r="B8" i="2"/>
  <c r="B7" i="2"/>
  <c r="B6" i="2"/>
  <c r="B5" i="2"/>
  <c r="B4" i="2"/>
  <c r="B3" i="2"/>
  <c r="B2" i="2"/>
  <c r="H53" i="1"/>
  <c r="N16" i="1"/>
  <c r="N32" i="1"/>
  <c r="N48" i="1"/>
  <c r="M3" i="1"/>
  <c r="M4" i="1"/>
  <c r="M5" i="1"/>
  <c r="N5" i="1" s="1"/>
  <c r="M6" i="1"/>
  <c r="N6" i="1" s="1"/>
  <c r="M7" i="1"/>
  <c r="M8" i="1"/>
  <c r="M9" i="1"/>
  <c r="N9" i="1" s="1"/>
  <c r="M10" i="1"/>
  <c r="N10" i="1" s="1"/>
  <c r="M11" i="1"/>
  <c r="M12" i="1"/>
  <c r="M13" i="1"/>
  <c r="N13" i="1" s="1"/>
  <c r="M14" i="1"/>
  <c r="N14" i="1" s="1"/>
  <c r="M15" i="1"/>
  <c r="M16" i="1"/>
  <c r="M17" i="1"/>
  <c r="N17" i="1" s="1"/>
  <c r="M18" i="1"/>
  <c r="N18" i="1" s="1"/>
  <c r="M19" i="1"/>
  <c r="M20" i="1"/>
  <c r="M21" i="1"/>
  <c r="N21" i="1" s="1"/>
  <c r="M22" i="1"/>
  <c r="N22" i="1" s="1"/>
  <c r="M23" i="1"/>
  <c r="M24" i="1"/>
  <c r="M25" i="1"/>
  <c r="N25" i="1" s="1"/>
  <c r="M26" i="1"/>
  <c r="N26" i="1" s="1"/>
  <c r="M27" i="1"/>
  <c r="M28" i="1"/>
  <c r="M29" i="1"/>
  <c r="N29" i="1" s="1"/>
  <c r="M30" i="1"/>
  <c r="N30" i="1" s="1"/>
  <c r="M31" i="1"/>
  <c r="M32" i="1"/>
  <c r="M33" i="1"/>
  <c r="N33" i="1" s="1"/>
  <c r="M34" i="1"/>
  <c r="N34" i="1" s="1"/>
  <c r="M35" i="1"/>
  <c r="M36" i="1"/>
  <c r="M37" i="1"/>
  <c r="N37" i="1" s="1"/>
  <c r="M38" i="1"/>
  <c r="N38" i="1" s="1"/>
  <c r="M39" i="1"/>
  <c r="M40" i="1"/>
  <c r="M41" i="1"/>
  <c r="N41" i="1" s="1"/>
  <c r="M42" i="1"/>
  <c r="N42" i="1" s="1"/>
  <c r="M43" i="1"/>
  <c r="M44" i="1"/>
  <c r="M45" i="1"/>
  <c r="N45" i="1" s="1"/>
  <c r="M46" i="1"/>
  <c r="N46" i="1" s="1"/>
  <c r="M47" i="1"/>
  <c r="M48" i="1"/>
  <c r="M49" i="1"/>
  <c r="N49" i="1" s="1"/>
  <c r="M50" i="1"/>
  <c r="N50" i="1" s="1"/>
  <c r="M51" i="1"/>
  <c r="M2" i="1"/>
  <c r="D9" i="6"/>
  <c r="D8" i="6"/>
  <c r="D7" i="6"/>
  <c r="D6" i="6"/>
  <c r="D5" i="6"/>
  <c r="D4" i="6"/>
  <c r="D3" i="6"/>
  <c r="D2" i="6"/>
  <c r="B17" i="4"/>
  <c r="D5" i="4"/>
  <c r="D4" i="4"/>
  <c r="D3" i="4"/>
  <c r="D2" i="4"/>
  <c r="O48" i="1" l="1"/>
  <c r="O44" i="1"/>
  <c r="O40" i="1"/>
  <c r="O32" i="1"/>
  <c r="O24" i="1"/>
  <c r="O16" i="1"/>
  <c r="N44" i="1"/>
  <c r="N28" i="1"/>
  <c r="O28" i="1" s="1"/>
  <c r="N12" i="1"/>
  <c r="O12" i="1" s="1"/>
  <c r="B11" i="2"/>
  <c r="N40" i="1"/>
  <c r="N24" i="1"/>
  <c r="N8" i="1"/>
  <c r="O8" i="1" s="1"/>
  <c r="N2" i="1"/>
  <c r="O2" i="1" s="1"/>
  <c r="N36" i="1"/>
  <c r="O36" i="1" s="1"/>
  <c r="N20" i="1"/>
  <c r="O20" i="1" s="1"/>
  <c r="N4" i="1"/>
  <c r="O4" i="1" s="1"/>
  <c r="O31" i="1"/>
  <c r="O27" i="1"/>
  <c r="N51" i="1"/>
  <c r="O51" i="1" s="1"/>
  <c r="N47" i="1"/>
  <c r="O47" i="1" s="1"/>
  <c r="N43" i="1"/>
  <c r="O43" i="1" s="1"/>
  <c r="N39" i="1"/>
  <c r="O39" i="1" s="1"/>
  <c r="N35" i="1"/>
  <c r="O35" i="1" s="1"/>
  <c r="N31" i="1"/>
  <c r="N27" i="1"/>
  <c r="N23" i="1"/>
  <c r="O23" i="1" s="1"/>
  <c r="N19" i="1"/>
  <c r="O19" i="1" s="1"/>
  <c r="N15" i="1"/>
  <c r="O15" i="1" s="1"/>
  <c r="N11" i="1"/>
  <c r="O11" i="1" s="1"/>
  <c r="N7" i="1"/>
  <c r="O7" i="1" s="1"/>
  <c r="N3" i="1"/>
  <c r="O3" i="1" s="1"/>
  <c r="O49" i="1"/>
  <c r="O45" i="1"/>
  <c r="O41" i="1"/>
  <c r="O37" i="1"/>
  <c r="O33" i="1"/>
  <c r="O29" i="1"/>
  <c r="O25" i="1"/>
  <c r="O21" i="1"/>
  <c r="O17" i="1"/>
  <c r="O13" i="1"/>
  <c r="O9" i="1"/>
  <c r="O5" i="1"/>
  <c r="O50" i="1"/>
  <c r="O46" i="1"/>
  <c r="O42" i="1"/>
  <c r="O38" i="1"/>
  <c r="O34" i="1"/>
  <c r="O30" i="1"/>
  <c r="O26" i="1"/>
  <c r="O22" i="1"/>
  <c r="O18" i="1"/>
  <c r="O14" i="1"/>
  <c r="O10" i="1"/>
  <c r="O6" i="1"/>
  <c r="C4" i="2" l="1"/>
  <c r="C8" i="2"/>
  <c r="C7" i="2"/>
  <c r="C3" i="2"/>
  <c r="C3" i="3"/>
  <c r="D3" i="3"/>
  <c r="O53" i="1"/>
  <c r="E58" i="1"/>
  <c r="O54" i="1"/>
  <c r="O55" i="1"/>
  <c r="O56" i="1"/>
  <c r="E60" i="1"/>
  <c r="C6" i="2"/>
  <c r="C4" i="3"/>
  <c r="D4" i="3"/>
  <c r="C5" i="3"/>
  <c r="D5" i="3"/>
  <c r="E59" i="1"/>
  <c r="C5" i="2"/>
  <c r="C9" i="2"/>
  <c r="C2" i="2"/>
  <c r="C2" i="3"/>
  <c r="E61" i="1"/>
  <c r="D2" i="3"/>
  <c r="C11" i="2" l="1"/>
</calcChain>
</file>

<file path=xl/sharedStrings.xml><?xml version="1.0" encoding="utf-8"?>
<sst xmlns="http://schemas.openxmlformats.org/spreadsheetml/2006/main" count="498" uniqueCount="179">
  <si>
    <t>Order_ID</t>
  </si>
  <si>
    <t>Order_Date</t>
  </si>
  <si>
    <t>Customer</t>
  </si>
  <si>
    <t>Region</t>
  </si>
  <si>
    <t>City</t>
  </si>
  <si>
    <t>Product</t>
  </si>
  <si>
    <t>Category</t>
  </si>
  <si>
    <t>Quantity</t>
  </si>
  <si>
    <t>Unit_Price</t>
  </si>
  <si>
    <t>Discount</t>
  </si>
  <si>
    <t>Payment_Mode</t>
  </si>
  <si>
    <t>Salesperson</t>
  </si>
  <si>
    <t>ORD1001</t>
  </si>
  <si>
    <t>Rahul Sharma</t>
  </si>
  <si>
    <t>North</t>
  </si>
  <si>
    <t>Delhi</t>
  </si>
  <si>
    <t>Laptop</t>
  </si>
  <si>
    <t>Electronics</t>
  </si>
  <si>
    <t>UPI</t>
  </si>
  <si>
    <t>Ankit</t>
  </si>
  <si>
    <t>ORD1002</t>
  </si>
  <si>
    <t>Priya Singh</t>
  </si>
  <si>
    <t>Gurgaon</t>
  </si>
  <si>
    <t>Mouse</t>
  </si>
  <si>
    <t>Accessories</t>
  </si>
  <si>
    <t>Card</t>
  </si>
  <si>
    <t>Neha</t>
  </si>
  <si>
    <t>ORD1003</t>
  </si>
  <si>
    <t>Aman Verma</t>
  </si>
  <si>
    <t>West</t>
  </si>
  <si>
    <t>Mumbai</t>
  </si>
  <si>
    <t>Keyboard</t>
  </si>
  <si>
    <t>Rohit</t>
  </si>
  <si>
    <t>ORD1004</t>
  </si>
  <si>
    <t>Simran Kaur</t>
  </si>
  <si>
    <t>Monitor</t>
  </si>
  <si>
    <t>Cash</t>
  </si>
  <si>
    <t>ORD1005</t>
  </si>
  <si>
    <t>Arjun Mehta</t>
  </si>
  <si>
    <t>South</t>
  </si>
  <si>
    <t>Bangalore</t>
  </si>
  <si>
    <t>Priya</t>
  </si>
  <si>
    <t>ORD1006</t>
  </si>
  <si>
    <t>Neha Gupta</t>
  </si>
  <si>
    <t>East</t>
  </si>
  <si>
    <t>Kolkata</t>
  </si>
  <si>
    <t>Headphones</t>
  </si>
  <si>
    <t>ORD1007</t>
  </si>
  <si>
    <t>Karan Malhotra</t>
  </si>
  <si>
    <t>Noida</t>
  </si>
  <si>
    <t>Printer</t>
  </si>
  <si>
    <t>ORD1008</t>
  </si>
  <si>
    <t>Riya Jain</t>
  </si>
  <si>
    <t>Pune</t>
  </si>
  <si>
    <t>USB Cable</t>
  </si>
  <si>
    <t>ORD1009</t>
  </si>
  <si>
    <t>Vikas Yadav</t>
  </si>
  <si>
    <t>Tablet</t>
  </si>
  <si>
    <t>ORD1010</t>
  </si>
  <si>
    <t>Isha Kapoor</t>
  </si>
  <si>
    <t>Chennai</t>
  </si>
  <si>
    <t>ORD1011</t>
  </si>
  <si>
    <t>Mohit Kumar</t>
  </si>
  <si>
    <t>ORD1012</t>
  </si>
  <si>
    <t>Sneha Arora</t>
  </si>
  <si>
    <t>ORD1013</t>
  </si>
  <si>
    <t>Dev Raj</t>
  </si>
  <si>
    <t>ORD1014</t>
  </si>
  <si>
    <t>Pooja Sharma</t>
  </si>
  <si>
    <t>ORD1015</t>
  </si>
  <si>
    <t>Yash Saini</t>
  </si>
  <si>
    <t>ORD1016</t>
  </si>
  <si>
    <t>Anjali Verma</t>
  </si>
  <si>
    <t>ORD1017</t>
  </si>
  <si>
    <t>Rohan Das</t>
  </si>
  <si>
    <t>ORD1018</t>
  </si>
  <si>
    <t>Komal Gupta</t>
  </si>
  <si>
    <t>ORD1019</t>
  </si>
  <si>
    <t>Aditya Singh</t>
  </si>
  <si>
    <t>ORD1020</t>
  </si>
  <si>
    <t>Manisha Roy</t>
  </si>
  <si>
    <t>ORD1021</t>
  </si>
  <si>
    <t>Raj Malhotra</t>
  </si>
  <si>
    <t>ORD1022</t>
  </si>
  <si>
    <t>Tanya Jain</t>
  </si>
  <si>
    <t>ORD1023</t>
  </si>
  <si>
    <t>Sahil Khan</t>
  </si>
  <si>
    <t>ORD1024</t>
  </si>
  <si>
    <t>Divya Sharma</t>
  </si>
  <si>
    <t>ORD1025</t>
  </si>
  <si>
    <t>Nitin Kumar</t>
  </si>
  <si>
    <t>ORD1026</t>
  </si>
  <si>
    <t>Ayesha Khan</t>
  </si>
  <si>
    <t>ORD1027</t>
  </si>
  <si>
    <t>Varun Mehta</t>
  </si>
  <si>
    <t>ORD1028</t>
  </si>
  <si>
    <t>Kriti Singh</t>
  </si>
  <si>
    <t>ORD1029</t>
  </si>
  <si>
    <t>Manav Gupta</t>
  </si>
  <si>
    <t>ORD1030</t>
  </si>
  <si>
    <t>Ritika Jain</t>
  </si>
  <si>
    <t>ORD1031</t>
  </si>
  <si>
    <t>Ashish Verma</t>
  </si>
  <si>
    <t>ORD1032</t>
  </si>
  <si>
    <t>Nisha Kapoor</t>
  </si>
  <si>
    <t>ORD1033</t>
  </si>
  <si>
    <t>Harsh Yadav</t>
  </si>
  <si>
    <t>ORD1034</t>
  </si>
  <si>
    <t>Sakshi Arora</t>
  </si>
  <si>
    <t>ORD1035</t>
  </si>
  <si>
    <t>ORD1036</t>
  </si>
  <si>
    <t>ORD1037</t>
  </si>
  <si>
    <t>ORD1038</t>
  </si>
  <si>
    <t>ORD1039</t>
  </si>
  <si>
    <t>ORD1040</t>
  </si>
  <si>
    <t>ORD1041</t>
  </si>
  <si>
    <t>ORD1042</t>
  </si>
  <si>
    <t>ORD1043</t>
  </si>
  <si>
    <t>ORD1044</t>
  </si>
  <si>
    <t>ORD1045</t>
  </si>
  <si>
    <t>ORD1046</t>
  </si>
  <si>
    <t>ORD1047</t>
  </si>
  <si>
    <t>ORD1048</t>
  </si>
  <si>
    <t>ORD1049</t>
  </si>
  <si>
    <t>ORD1050</t>
  </si>
  <si>
    <t xml:space="preserve">Gross Sales </t>
  </si>
  <si>
    <t xml:space="preserve">Discount AMT </t>
  </si>
  <si>
    <t xml:space="preserve">Net Sales </t>
  </si>
  <si>
    <t>sum</t>
  </si>
  <si>
    <t xml:space="preserve">average </t>
  </si>
  <si>
    <t>max order v</t>
  </si>
  <si>
    <t>min order value</t>
  </si>
  <si>
    <t>qty sold</t>
  </si>
  <si>
    <t xml:space="preserve">net sales in regions </t>
  </si>
  <si>
    <t xml:space="preserve">north </t>
  </si>
  <si>
    <t xml:space="preserve">south </t>
  </si>
  <si>
    <t xml:space="preserve">east </t>
  </si>
  <si>
    <t>west</t>
  </si>
  <si>
    <t xml:space="preserve">laptop </t>
  </si>
  <si>
    <t xml:space="preserve">mouse </t>
  </si>
  <si>
    <t>keyboard</t>
  </si>
  <si>
    <t>monitor</t>
  </si>
  <si>
    <t>printer</t>
  </si>
  <si>
    <t xml:space="preserve">usb cables </t>
  </si>
  <si>
    <t>tablet</t>
  </si>
  <si>
    <t>headphones</t>
  </si>
  <si>
    <t xml:space="preserve">max qty </t>
  </si>
  <si>
    <t xml:space="preserve">Ankit </t>
  </si>
  <si>
    <t>SALES PERSON</t>
  </si>
  <si>
    <t>TOTAL ORDER</t>
  </si>
  <si>
    <t>TOTAL NET SALES</t>
  </si>
  <si>
    <t>TOTAL AVERAGE SALES</t>
  </si>
  <si>
    <t>Row Labels</t>
  </si>
  <si>
    <t>Grand Total</t>
  </si>
  <si>
    <t xml:space="preserve">Sum of Net Sales </t>
  </si>
  <si>
    <t>Sum of Quantity</t>
  </si>
  <si>
    <t>Sum of TOTAL ORDER</t>
  </si>
  <si>
    <t>Sum of TOTAL NET SALES</t>
  </si>
  <si>
    <t>Aug</t>
  </si>
  <si>
    <t>Sep</t>
  </si>
  <si>
    <t xml:space="preserve">card </t>
  </si>
  <si>
    <t xml:space="preserve">cash </t>
  </si>
  <si>
    <t>upi</t>
  </si>
  <si>
    <t>Sum of total order</t>
  </si>
  <si>
    <t>SALES PERFORMANCE ANALYSIS</t>
  </si>
  <si>
    <t>August-September 2026</t>
  </si>
  <si>
    <t xml:space="preserve">TOTAL SALES </t>
  </si>
  <si>
    <t>TOTAL ORDERS</t>
  </si>
  <si>
    <t>TOTAL QUANTITY</t>
  </si>
  <si>
    <t>AVG ORDER</t>
  </si>
  <si>
    <t>MAIN ANALYSIS</t>
  </si>
  <si>
    <t>SECONDARY ANALYSIS</t>
  </si>
  <si>
    <t>TRENC</t>
  </si>
  <si>
    <t>REGION</t>
  </si>
  <si>
    <t>PRODUCT</t>
  </si>
  <si>
    <t xml:space="preserve">PAYMENT MODE </t>
  </si>
  <si>
    <t>SALES, ORDER &amp; PRODUCT ANALYSIS</t>
  </si>
  <si>
    <t xml:space="preserve">TOTAL QTY </t>
  </si>
  <si>
    <t xml:space="preserve">TOTAL NET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</si>
</sst>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00"/>
  </numFmts>
  <fonts count="6" x14ac:knownFonts="1">
    <font>
      <sz val="11"/>
      <color theme="1"/>
      <name val="Calibri"/>
      <family val="2"/>
      <scheme val="minor"/>
    </font>
    <font>
      <b/>
      <sz val="11"/>
      <color theme="1"/>
      <name val="Calibri"/>
      <family val="2"/>
      <scheme val="minor"/>
    </font>
    <font>
      <b/>
      <sz val="22"/>
      <color theme="1"/>
      <name val="Calibri"/>
      <family val="2"/>
      <scheme val="minor"/>
    </font>
    <font>
      <b/>
      <u/>
      <sz val="11"/>
      <color theme="1"/>
      <name val="Calibri"/>
      <family val="2"/>
      <scheme val="minor"/>
    </font>
    <font>
      <i/>
      <sz val="11"/>
      <color theme="1"/>
      <name val="Calibri"/>
      <family val="2"/>
      <scheme val="minor"/>
    </font>
    <font>
      <sz val="22"/>
      <color theme="1"/>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6" tint="0.79998168889431442"/>
        <bgColor indexed="64"/>
      </patternFill>
    </fill>
  </fills>
  <borders count="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9" fontId="0" fillId="0" borderId="0" xfId="0" applyNumberFormat="1"/>
    <xf numFmtId="164" fontId="0" fillId="0" borderId="0" xfId="0" applyNumberFormat="1"/>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0" fontId="1" fillId="0" borderId="0" xfId="0" applyFont="1"/>
    <xf numFmtId="0" fontId="1" fillId="4" borderId="0" xfId="0" applyFont="1" applyFill="1"/>
    <xf numFmtId="0" fontId="2" fillId="2" borderId="0" xfId="0" applyFont="1" applyFill="1" applyAlignment="1">
      <alignment horizontal="center"/>
    </xf>
    <xf numFmtId="0" fontId="5" fillId="2" borderId="0" xfId="0" applyFont="1"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5" borderId="0" xfId="0" applyFont="1" applyFill="1" applyAlignment="1">
      <alignment horizontal="center"/>
    </xf>
    <xf numFmtId="0" fontId="0" fillId="5" borderId="0" xfId="0" applyFill="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165" fontId="0" fillId="0" borderId="3" xfId="0" applyNumberFormat="1" applyBorder="1" applyAlignment="1">
      <alignment horizontal="center"/>
    </xf>
    <xf numFmtId="165" fontId="0" fillId="0" borderId="4" xfId="0" applyNumberFormat="1" applyBorder="1" applyAlignment="1">
      <alignment horizontal="center"/>
    </xf>
    <xf numFmtId="0" fontId="3" fillId="0" borderId="0" xfId="0" applyFont="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6" borderId="0" xfId="0" applyFont="1" applyFill="1" applyAlignment="1">
      <alignment horizontal="center"/>
    </xf>
    <xf numFmtId="0" fontId="0" fillId="6" borderId="0" xfId="0" applyFill="1" applyAlignment="1">
      <alignment horizontal="center"/>
    </xf>
    <xf numFmtId="0" fontId="0" fillId="3" borderId="0" xfId="0" applyFill="1"/>
  </cellXfs>
  <cellStyles count="1">
    <cellStyle name="Normal" xfId="0" builtinId="0"/>
  </cellStyles>
  <dxfs count="2">
    <dxf>
      <fill>
        <patternFill>
          <bgColor theme="7"/>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PROJECT.xlsx]Region pvc!PivotTable1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pvc'!$B$1</c:f>
              <c:strCache>
                <c:ptCount val="1"/>
                <c:pt idx="0">
                  <c:v>Sum of Net Sales </c:v>
                </c:pt>
              </c:strCache>
            </c:strRef>
          </c:tx>
          <c:spPr>
            <a:solidFill>
              <a:schemeClr val="accent1"/>
            </a:solidFill>
            <a:ln>
              <a:noFill/>
            </a:ln>
            <a:effectLst/>
          </c:spPr>
          <c:invertIfNegative val="0"/>
          <c:cat>
            <c:strRef>
              <c:f>'Region pvc'!$A$2:$A$6</c:f>
              <c:strCache>
                <c:ptCount val="4"/>
                <c:pt idx="0">
                  <c:v>East</c:v>
                </c:pt>
                <c:pt idx="1">
                  <c:v>North</c:v>
                </c:pt>
                <c:pt idx="2">
                  <c:v>South</c:v>
                </c:pt>
                <c:pt idx="3">
                  <c:v>West</c:v>
                </c:pt>
              </c:strCache>
            </c:strRef>
          </c:cat>
          <c:val>
            <c:numRef>
              <c:f>'Region pvc'!$B$2:$B$6</c:f>
              <c:numCache>
                <c:formatCode>General</c:formatCode>
                <c:ptCount val="4"/>
                <c:pt idx="0">
                  <c:v>230680</c:v>
                </c:pt>
                <c:pt idx="1">
                  <c:v>446058</c:v>
                </c:pt>
                <c:pt idx="2">
                  <c:v>223765</c:v>
                </c:pt>
                <c:pt idx="3">
                  <c:v>135030</c:v>
                </c:pt>
              </c:numCache>
            </c:numRef>
          </c:val>
          <c:extLst>
            <c:ext xmlns:c16="http://schemas.microsoft.com/office/drawing/2014/chart" uri="{C3380CC4-5D6E-409C-BE32-E72D297353CC}">
              <c16:uniqueId val="{00000003-4EA2-44AB-B7CD-8AFDDDB1C59A}"/>
            </c:ext>
          </c:extLst>
        </c:ser>
        <c:ser>
          <c:idx val="1"/>
          <c:order val="1"/>
          <c:tx>
            <c:strRef>
              <c:f>'Region pvc'!$C$1</c:f>
              <c:strCache>
                <c:ptCount val="1"/>
                <c:pt idx="0">
                  <c:v>Sum of Quantity</c:v>
                </c:pt>
              </c:strCache>
            </c:strRef>
          </c:tx>
          <c:spPr>
            <a:solidFill>
              <a:schemeClr val="accent2"/>
            </a:solidFill>
            <a:ln>
              <a:noFill/>
            </a:ln>
            <a:effectLst/>
          </c:spPr>
          <c:invertIfNegative val="0"/>
          <c:cat>
            <c:strRef>
              <c:f>'Region pvc'!$A$2:$A$6</c:f>
              <c:strCache>
                <c:ptCount val="4"/>
                <c:pt idx="0">
                  <c:v>East</c:v>
                </c:pt>
                <c:pt idx="1">
                  <c:v>North</c:v>
                </c:pt>
                <c:pt idx="2">
                  <c:v>South</c:v>
                </c:pt>
                <c:pt idx="3">
                  <c:v>West</c:v>
                </c:pt>
              </c:strCache>
            </c:strRef>
          </c:cat>
          <c:val>
            <c:numRef>
              <c:f>'Region pvc'!$C$2:$C$6</c:f>
              <c:numCache>
                <c:formatCode>General</c:formatCode>
                <c:ptCount val="4"/>
                <c:pt idx="0">
                  <c:v>21</c:v>
                </c:pt>
                <c:pt idx="1">
                  <c:v>40</c:v>
                </c:pt>
                <c:pt idx="2">
                  <c:v>40</c:v>
                </c:pt>
                <c:pt idx="3">
                  <c:v>28</c:v>
                </c:pt>
              </c:numCache>
            </c:numRef>
          </c:val>
          <c:extLst>
            <c:ext xmlns:c16="http://schemas.microsoft.com/office/drawing/2014/chart" uri="{C3380CC4-5D6E-409C-BE32-E72D297353CC}">
              <c16:uniqueId val="{00000000-83DE-49FC-8884-F1E5C0095C0E}"/>
            </c:ext>
          </c:extLst>
        </c:ser>
        <c:dLbls>
          <c:showLegendKey val="0"/>
          <c:showVal val="0"/>
          <c:showCatName val="0"/>
          <c:showSerName val="0"/>
          <c:showPercent val="0"/>
          <c:showBubbleSize val="0"/>
        </c:dLbls>
        <c:gapWidth val="219"/>
        <c:overlap val="-27"/>
        <c:axId val="2021648272"/>
        <c:axId val="2019805072"/>
      </c:barChart>
      <c:catAx>
        <c:axId val="20216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5072"/>
        <c:crosses val="autoZero"/>
        <c:auto val="1"/>
        <c:lblAlgn val="ctr"/>
        <c:lblOffset val="100"/>
        <c:noMultiLvlLbl val="0"/>
      </c:catAx>
      <c:valAx>
        <c:axId val="20198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PROJECT.xlsx]Product pvc!PivotTable2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pvc'!$B$1</c:f>
              <c:strCache>
                <c:ptCount val="1"/>
                <c:pt idx="0">
                  <c:v>Sum of Quantity</c:v>
                </c:pt>
              </c:strCache>
            </c:strRef>
          </c:tx>
          <c:spPr>
            <a:solidFill>
              <a:schemeClr val="accent1"/>
            </a:solidFill>
            <a:ln>
              <a:noFill/>
            </a:ln>
            <a:effectLst/>
          </c:spPr>
          <c:invertIfNegative val="0"/>
          <c:cat>
            <c:strRef>
              <c:f>'Product pvc'!$A$2:$A$10</c:f>
              <c:strCache>
                <c:ptCount val="8"/>
                <c:pt idx="0">
                  <c:v>Headphones</c:v>
                </c:pt>
                <c:pt idx="1">
                  <c:v>Keyboard</c:v>
                </c:pt>
                <c:pt idx="2">
                  <c:v>Laptop</c:v>
                </c:pt>
                <c:pt idx="3">
                  <c:v>Monitor</c:v>
                </c:pt>
                <c:pt idx="4">
                  <c:v>Mouse</c:v>
                </c:pt>
                <c:pt idx="5">
                  <c:v>Printer</c:v>
                </c:pt>
                <c:pt idx="6">
                  <c:v>Tablet</c:v>
                </c:pt>
                <c:pt idx="7">
                  <c:v>USB Cable</c:v>
                </c:pt>
              </c:strCache>
            </c:strRef>
          </c:cat>
          <c:val>
            <c:numRef>
              <c:f>'Product pvc'!$B$2:$B$10</c:f>
              <c:numCache>
                <c:formatCode>General</c:formatCode>
                <c:ptCount val="8"/>
                <c:pt idx="0">
                  <c:v>21</c:v>
                </c:pt>
                <c:pt idx="1">
                  <c:v>14</c:v>
                </c:pt>
                <c:pt idx="2">
                  <c:v>10</c:v>
                </c:pt>
                <c:pt idx="3">
                  <c:v>10</c:v>
                </c:pt>
                <c:pt idx="4">
                  <c:v>30</c:v>
                </c:pt>
                <c:pt idx="5">
                  <c:v>7</c:v>
                </c:pt>
                <c:pt idx="6">
                  <c:v>8</c:v>
                </c:pt>
                <c:pt idx="7">
                  <c:v>29</c:v>
                </c:pt>
              </c:numCache>
            </c:numRef>
          </c:val>
          <c:extLst>
            <c:ext xmlns:c16="http://schemas.microsoft.com/office/drawing/2014/chart" uri="{C3380CC4-5D6E-409C-BE32-E72D297353CC}">
              <c16:uniqueId val="{00000002-0780-42E4-B328-C3A09019F3BD}"/>
            </c:ext>
          </c:extLst>
        </c:ser>
        <c:ser>
          <c:idx val="1"/>
          <c:order val="1"/>
          <c:tx>
            <c:strRef>
              <c:f>'Product pvc'!$C$1</c:f>
              <c:strCache>
                <c:ptCount val="1"/>
                <c:pt idx="0">
                  <c:v>Sum of Net Sales </c:v>
                </c:pt>
              </c:strCache>
            </c:strRef>
          </c:tx>
          <c:spPr>
            <a:solidFill>
              <a:schemeClr val="accent2"/>
            </a:solidFill>
            <a:ln>
              <a:noFill/>
            </a:ln>
            <a:effectLst/>
          </c:spPr>
          <c:invertIfNegative val="0"/>
          <c:cat>
            <c:strRef>
              <c:f>'Product pvc'!$A$2:$A$10</c:f>
              <c:strCache>
                <c:ptCount val="8"/>
                <c:pt idx="0">
                  <c:v>Headphones</c:v>
                </c:pt>
                <c:pt idx="1">
                  <c:v>Keyboard</c:v>
                </c:pt>
                <c:pt idx="2">
                  <c:v>Laptop</c:v>
                </c:pt>
                <c:pt idx="3">
                  <c:v>Monitor</c:v>
                </c:pt>
                <c:pt idx="4">
                  <c:v>Mouse</c:v>
                </c:pt>
                <c:pt idx="5">
                  <c:v>Printer</c:v>
                </c:pt>
                <c:pt idx="6">
                  <c:v>Tablet</c:v>
                </c:pt>
                <c:pt idx="7">
                  <c:v>USB Cable</c:v>
                </c:pt>
              </c:strCache>
            </c:strRef>
          </c:cat>
          <c:val>
            <c:numRef>
              <c:f>'Product pvc'!$C$2:$C$10</c:f>
              <c:numCache>
                <c:formatCode>General</c:formatCode>
                <c:ptCount val="8"/>
                <c:pt idx="0">
                  <c:v>45315</c:v>
                </c:pt>
                <c:pt idx="1">
                  <c:v>21255</c:v>
                </c:pt>
                <c:pt idx="2">
                  <c:v>518990</c:v>
                </c:pt>
                <c:pt idx="3">
                  <c:v>112315</c:v>
                </c:pt>
                <c:pt idx="4">
                  <c:v>23375</c:v>
                </c:pt>
                <c:pt idx="5">
                  <c:v>94978</c:v>
                </c:pt>
                <c:pt idx="6">
                  <c:v>208010</c:v>
                </c:pt>
                <c:pt idx="7">
                  <c:v>11295</c:v>
                </c:pt>
              </c:numCache>
            </c:numRef>
          </c:val>
          <c:extLst>
            <c:ext xmlns:c16="http://schemas.microsoft.com/office/drawing/2014/chart" uri="{C3380CC4-5D6E-409C-BE32-E72D297353CC}">
              <c16:uniqueId val="{00000003-0780-42E4-B328-C3A09019F3BD}"/>
            </c:ext>
          </c:extLst>
        </c:ser>
        <c:dLbls>
          <c:showLegendKey val="0"/>
          <c:showVal val="0"/>
          <c:showCatName val="0"/>
          <c:showSerName val="0"/>
          <c:showPercent val="0"/>
          <c:showBubbleSize val="0"/>
        </c:dLbls>
        <c:gapWidth val="219"/>
        <c:axId val="2082466144"/>
        <c:axId val="2019775792"/>
      </c:barChart>
      <c:catAx>
        <c:axId val="208246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75792"/>
        <c:crosses val="autoZero"/>
        <c:auto val="1"/>
        <c:lblAlgn val="ctr"/>
        <c:lblOffset val="100"/>
        <c:noMultiLvlLbl val="0"/>
      </c:catAx>
      <c:valAx>
        <c:axId val="201977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6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PROJECT.xlsx]Salesperson pvc!PivotTable5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pvc'!$B$1</c:f>
              <c:strCache>
                <c:ptCount val="1"/>
                <c:pt idx="0">
                  <c:v>Sum of TOTAL ORDER</c:v>
                </c:pt>
              </c:strCache>
            </c:strRef>
          </c:tx>
          <c:spPr>
            <a:solidFill>
              <a:schemeClr val="accent1"/>
            </a:solidFill>
            <a:ln>
              <a:noFill/>
            </a:ln>
            <a:effectLst/>
          </c:spPr>
          <c:invertIfNegative val="0"/>
          <c:cat>
            <c:strRef>
              <c:f>'Salesperson pvc'!$A$2:$A$6</c:f>
              <c:strCache>
                <c:ptCount val="4"/>
                <c:pt idx="0">
                  <c:v>Ankit </c:v>
                </c:pt>
                <c:pt idx="1">
                  <c:v>Neha</c:v>
                </c:pt>
                <c:pt idx="2">
                  <c:v>Priya</c:v>
                </c:pt>
                <c:pt idx="3">
                  <c:v>Rohit</c:v>
                </c:pt>
              </c:strCache>
            </c:strRef>
          </c:cat>
          <c:val>
            <c:numRef>
              <c:f>'Salesperson pvc'!$B$2:$B$6</c:f>
              <c:numCache>
                <c:formatCode>General</c:formatCode>
                <c:ptCount val="4"/>
                <c:pt idx="0">
                  <c:v>13</c:v>
                </c:pt>
                <c:pt idx="1">
                  <c:v>12</c:v>
                </c:pt>
                <c:pt idx="2">
                  <c:v>12</c:v>
                </c:pt>
                <c:pt idx="3">
                  <c:v>13</c:v>
                </c:pt>
              </c:numCache>
            </c:numRef>
          </c:val>
          <c:extLst>
            <c:ext xmlns:c16="http://schemas.microsoft.com/office/drawing/2014/chart" uri="{C3380CC4-5D6E-409C-BE32-E72D297353CC}">
              <c16:uniqueId val="{00000000-CE4F-459E-8F20-842913A87593}"/>
            </c:ext>
          </c:extLst>
        </c:ser>
        <c:ser>
          <c:idx val="1"/>
          <c:order val="1"/>
          <c:tx>
            <c:strRef>
              <c:f>'Salesperson pvc'!$C$1</c:f>
              <c:strCache>
                <c:ptCount val="1"/>
                <c:pt idx="0">
                  <c:v>Sum of TOTAL NET SALES</c:v>
                </c:pt>
              </c:strCache>
            </c:strRef>
          </c:tx>
          <c:spPr>
            <a:solidFill>
              <a:schemeClr val="accent2"/>
            </a:solidFill>
            <a:ln>
              <a:noFill/>
            </a:ln>
            <a:effectLst/>
          </c:spPr>
          <c:invertIfNegative val="0"/>
          <c:cat>
            <c:strRef>
              <c:f>'Salesperson pvc'!$A$2:$A$6</c:f>
              <c:strCache>
                <c:ptCount val="4"/>
                <c:pt idx="0">
                  <c:v>Ankit </c:v>
                </c:pt>
                <c:pt idx="1">
                  <c:v>Neha</c:v>
                </c:pt>
                <c:pt idx="2">
                  <c:v>Priya</c:v>
                </c:pt>
                <c:pt idx="3">
                  <c:v>Rohit</c:v>
                </c:pt>
              </c:strCache>
            </c:strRef>
          </c:cat>
          <c:val>
            <c:numRef>
              <c:f>'Salesperson pvc'!$C$2:$C$6</c:f>
              <c:numCache>
                <c:formatCode>General</c:formatCode>
                <c:ptCount val="4"/>
                <c:pt idx="0">
                  <c:v>190962</c:v>
                </c:pt>
                <c:pt idx="1">
                  <c:v>188436</c:v>
                </c:pt>
                <c:pt idx="2">
                  <c:v>460400</c:v>
                </c:pt>
                <c:pt idx="3">
                  <c:v>195735</c:v>
                </c:pt>
              </c:numCache>
            </c:numRef>
          </c:val>
          <c:extLst>
            <c:ext xmlns:c16="http://schemas.microsoft.com/office/drawing/2014/chart" uri="{C3380CC4-5D6E-409C-BE32-E72D297353CC}">
              <c16:uniqueId val="{00000002-CE4F-459E-8F20-842913A87593}"/>
            </c:ext>
          </c:extLst>
        </c:ser>
        <c:dLbls>
          <c:showLegendKey val="0"/>
          <c:showVal val="0"/>
          <c:showCatName val="0"/>
          <c:showSerName val="0"/>
          <c:showPercent val="0"/>
          <c:showBubbleSize val="0"/>
        </c:dLbls>
        <c:gapWidth val="219"/>
        <c:axId val="2097148240"/>
        <c:axId val="1859852048"/>
      </c:barChart>
      <c:catAx>
        <c:axId val="20971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52048"/>
        <c:crosses val="autoZero"/>
        <c:auto val="1"/>
        <c:lblAlgn val="ctr"/>
        <c:lblOffset val="100"/>
        <c:noMultiLvlLbl val="0"/>
      </c:catAx>
      <c:valAx>
        <c:axId val="185985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4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PROJECT.xlsx]Pay mode pvc!PivotTable8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'Pay mode pvc'!$B$1</c:f>
              <c:strCache>
                <c:ptCount val="1"/>
                <c:pt idx="0">
                  <c:v>Sum of total order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AA-413F-B1E2-E617F05DFA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AA-413F-B1E2-E617F05DFA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AA-413F-B1E2-E617F05DFAB6}"/>
              </c:ext>
            </c:extLst>
          </c:dPt>
          <c:cat>
            <c:strRef>
              <c:f>'Pay mode pvc'!$A$2:$A$5</c:f>
              <c:strCache>
                <c:ptCount val="3"/>
                <c:pt idx="0">
                  <c:v>card </c:v>
                </c:pt>
                <c:pt idx="1">
                  <c:v>cash </c:v>
                </c:pt>
                <c:pt idx="2">
                  <c:v>upi</c:v>
                </c:pt>
              </c:strCache>
            </c:strRef>
          </c:cat>
          <c:val>
            <c:numRef>
              <c:f>'Pay mode pvc'!$B$2:$B$5</c:f>
              <c:numCache>
                <c:formatCode>General</c:formatCode>
                <c:ptCount val="3"/>
                <c:pt idx="0">
                  <c:v>16</c:v>
                </c:pt>
                <c:pt idx="1">
                  <c:v>11</c:v>
                </c:pt>
                <c:pt idx="2">
                  <c:v>23</c:v>
                </c:pt>
              </c:numCache>
            </c:numRef>
          </c:val>
          <c:extLst>
            <c:ext xmlns:c16="http://schemas.microsoft.com/office/drawing/2014/chart" uri="{C3380CC4-5D6E-409C-BE32-E72D297353CC}">
              <c16:uniqueId val="{00000000-46E4-4C6C-ADE0-D7786BFF6FFE}"/>
            </c:ext>
          </c:extLst>
        </c:ser>
        <c:ser>
          <c:idx val="1"/>
          <c:order val="1"/>
          <c:tx>
            <c:strRef>
              <c:f>'Pay mode pvc'!$C$1</c:f>
              <c:strCache>
                <c:ptCount val="1"/>
                <c:pt idx="0">
                  <c:v>Sum of TOTAL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DAA-413F-B1E2-E617F05DFA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DAA-413F-B1E2-E617F05DFA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DAA-413F-B1E2-E617F05DFAB6}"/>
              </c:ext>
            </c:extLst>
          </c:dPt>
          <c:cat>
            <c:strRef>
              <c:f>'Pay mode pvc'!$A$2:$A$5</c:f>
              <c:strCache>
                <c:ptCount val="3"/>
                <c:pt idx="0">
                  <c:v>card </c:v>
                </c:pt>
                <c:pt idx="1">
                  <c:v>cash </c:v>
                </c:pt>
                <c:pt idx="2">
                  <c:v>upi</c:v>
                </c:pt>
              </c:strCache>
            </c:strRef>
          </c:cat>
          <c:val>
            <c:numRef>
              <c:f>'Pay mode pvc'!$C$2:$C$5</c:f>
              <c:numCache>
                <c:formatCode>General</c:formatCode>
                <c:ptCount val="3"/>
                <c:pt idx="0">
                  <c:v>585455</c:v>
                </c:pt>
                <c:pt idx="1">
                  <c:v>188694</c:v>
                </c:pt>
                <c:pt idx="2">
                  <c:v>261384</c:v>
                </c:pt>
              </c:numCache>
            </c:numRef>
          </c:val>
          <c:extLst>
            <c:ext xmlns:c16="http://schemas.microsoft.com/office/drawing/2014/chart" uri="{C3380CC4-5D6E-409C-BE32-E72D297353CC}">
              <c16:uniqueId val="{00000002-46E4-4C6C-ADE0-D7786BFF6F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 trend!PivotTable7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 trend'!$A$2:$A$4</c:f>
              <c:strCache>
                <c:ptCount val="2"/>
                <c:pt idx="0">
                  <c:v>Aug</c:v>
                </c:pt>
                <c:pt idx="1">
                  <c:v>Sep</c:v>
                </c:pt>
              </c:strCache>
            </c:strRef>
          </c:cat>
          <c:val>
            <c:numRef>
              <c:f>'sale trend'!$B$2:$B$4</c:f>
              <c:numCache>
                <c:formatCode>General</c:formatCode>
                <c:ptCount val="2"/>
                <c:pt idx="0">
                  <c:v>669771</c:v>
                </c:pt>
                <c:pt idx="1">
                  <c:v>365762</c:v>
                </c:pt>
              </c:numCache>
            </c:numRef>
          </c:val>
          <c:smooth val="0"/>
          <c:extLst>
            <c:ext xmlns:c16="http://schemas.microsoft.com/office/drawing/2014/chart" uri="{C3380CC4-5D6E-409C-BE32-E72D297353CC}">
              <c16:uniqueId val="{00000000-9358-466B-A1CD-C6EB3923234A}"/>
            </c:ext>
          </c:extLst>
        </c:ser>
        <c:dLbls>
          <c:showLegendKey val="0"/>
          <c:showVal val="0"/>
          <c:showCatName val="0"/>
          <c:showSerName val="0"/>
          <c:showPercent val="0"/>
          <c:showBubbleSize val="0"/>
        </c:dLbls>
        <c:marker val="1"/>
        <c:smooth val="0"/>
        <c:axId val="124986064"/>
        <c:axId val="1859847248"/>
      </c:lineChart>
      <c:catAx>
        <c:axId val="1249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47248"/>
        <c:crosses val="autoZero"/>
        <c:auto val="1"/>
        <c:lblAlgn val="ctr"/>
        <c:lblOffset val="100"/>
        <c:noMultiLvlLbl val="0"/>
      </c:catAx>
      <c:valAx>
        <c:axId val="18598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PROJECT.xlsx]Product pvc!PivotTable2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&amp; QUANTITY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34063563836697"/>
          <c:y val="0.17288780358151434"/>
          <c:w val="0.2426529975832229"/>
          <c:h val="0.71530698694308781"/>
        </c:manualLayout>
      </c:layout>
      <c:barChart>
        <c:barDir val="col"/>
        <c:grouping val="clustered"/>
        <c:varyColors val="0"/>
        <c:ser>
          <c:idx val="1"/>
          <c:order val="1"/>
          <c:tx>
            <c:strRef>
              <c:f>'Product pvc'!$C$1</c:f>
              <c:strCache>
                <c:ptCount val="1"/>
                <c:pt idx="0">
                  <c:v>Sum of Net Sales </c:v>
                </c:pt>
              </c:strCache>
            </c:strRef>
          </c:tx>
          <c:spPr>
            <a:solidFill>
              <a:schemeClr val="accent2"/>
            </a:solidFill>
            <a:ln>
              <a:noFill/>
            </a:ln>
            <a:effectLst/>
          </c:spPr>
          <c:invertIfNegative val="0"/>
          <c:cat>
            <c:strRef>
              <c:f>'Product pvc'!$A$2:$A$10</c:f>
              <c:strCache>
                <c:ptCount val="8"/>
                <c:pt idx="0">
                  <c:v>Headphones</c:v>
                </c:pt>
                <c:pt idx="1">
                  <c:v>Keyboard</c:v>
                </c:pt>
                <c:pt idx="2">
                  <c:v>Laptop</c:v>
                </c:pt>
                <c:pt idx="3">
                  <c:v>Monitor</c:v>
                </c:pt>
                <c:pt idx="4">
                  <c:v>Mouse</c:v>
                </c:pt>
                <c:pt idx="5">
                  <c:v>Printer</c:v>
                </c:pt>
                <c:pt idx="6">
                  <c:v>Tablet</c:v>
                </c:pt>
                <c:pt idx="7">
                  <c:v>USB Cable</c:v>
                </c:pt>
              </c:strCache>
            </c:strRef>
          </c:cat>
          <c:val>
            <c:numRef>
              <c:f>'Product pvc'!$C$2:$C$10</c:f>
              <c:numCache>
                <c:formatCode>General</c:formatCode>
                <c:ptCount val="8"/>
                <c:pt idx="0">
                  <c:v>45315</c:v>
                </c:pt>
                <c:pt idx="1">
                  <c:v>21255</c:v>
                </c:pt>
                <c:pt idx="2">
                  <c:v>518990</c:v>
                </c:pt>
                <c:pt idx="3">
                  <c:v>112315</c:v>
                </c:pt>
                <c:pt idx="4">
                  <c:v>23375</c:v>
                </c:pt>
                <c:pt idx="5">
                  <c:v>94978</c:v>
                </c:pt>
                <c:pt idx="6">
                  <c:v>208010</c:v>
                </c:pt>
                <c:pt idx="7">
                  <c:v>11295</c:v>
                </c:pt>
              </c:numCache>
            </c:numRef>
          </c:val>
          <c:extLst>
            <c:ext xmlns:c16="http://schemas.microsoft.com/office/drawing/2014/chart" uri="{C3380CC4-5D6E-409C-BE32-E72D297353CC}">
              <c16:uniqueId val="{00000001-9D2C-4BDA-88A2-78B84F680D66}"/>
            </c:ext>
          </c:extLst>
        </c:ser>
        <c:dLbls>
          <c:showLegendKey val="0"/>
          <c:showVal val="0"/>
          <c:showCatName val="0"/>
          <c:showSerName val="0"/>
          <c:showPercent val="0"/>
          <c:showBubbleSize val="0"/>
        </c:dLbls>
        <c:gapWidth val="219"/>
        <c:axId val="2082466144"/>
        <c:axId val="2019775792"/>
      </c:barChart>
      <c:lineChart>
        <c:grouping val="standard"/>
        <c:varyColors val="0"/>
        <c:ser>
          <c:idx val="0"/>
          <c:order val="0"/>
          <c:tx>
            <c:strRef>
              <c:f>'Product pvc'!$B$1</c:f>
              <c:strCache>
                <c:ptCount val="1"/>
                <c:pt idx="0">
                  <c:v>Sum of Quantity</c:v>
                </c:pt>
              </c:strCache>
            </c:strRef>
          </c:tx>
          <c:spPr>
            <a:ln w="28575" cap="rnd">
              <a:solidFill>
                <a:schemeClr val="accent1"/>
              </a:solidFill>
              <a:round/>
            </a:ln>
            <a:effectLst/>
          </c:spPr>
          <c:marker>
            <c:symbol val="none"/>
          </c:marker>
          <c:cat>
            <c:strRef>
              <c:f>'Product pvc'!$A$2:$A$10</c:f>
              <c:strCache>
                <c:ptCount val="8"/>
                <c:pt idx="0">
                  <c:v>Headphones</c:v>
                </c:pt>
                <c:pt idx="1">
                  <c:v>Keyboard</c:v>
                </c:pt>
                <c:pt idx="2">
                  <c:v>Laptop</c:v>
                </c:pt>
                <c:pt idx="3">
                  <c:v>Monitor</c:v>
                </c:pt>
                <c:pt idx="4">
                  <c:v>Mouse</c:v>
                </c:pt>
                <c:pt idx="5">
                  <c:v>Printer</c:v>
                </c:pt>
                <c:pt idx="6">
                  <c:v>Tablet</c:v>
                </c:pt>
                <c:pt idx="7">
                  <c:v>USB Cable</c:v>
                </c:pt>
              </c:strCache>
            </c:strRef>
          </c:cat>
          <c:val>
            <c:numRef>
              <c:f>'Product pvc'!$B$2:$B$10</c:f>
              <c:numCache>
                <c:formatCode>General</c:formatCode>
                <c:ptCount val="8"/>
                <c:pt idx="0">
                  <c:v>21</c:v>
                </c:pt>
                <c:pt idx="1">
                  <c:v>14</c:v>
                </c:pt>
                <c:pt idx="2">
                  <c:v>10</c:v>
                </c:pt>
                <c:pt idx="3">
                  <c:v>10</c:v>
                </c:pt>
                <c:pt idx="4">
                  <c:v>30</c:v>
                </c:pt>
                <c:pt idx="5">
                  <c:v>7</c:v>
                </c:pt>
                <c:pt idx="6">
                  <c:v>8</c:v>
                </c:pt>
                <c:pt idx="7">
                  <c:v>29</c:v>
                </c:pt>
              </c:numCache>
            </c:numRef>
          </c:val>
          <c:smooth val="0"/>
          <c:extLst>
            <c:ext xmlns:c16="http://schemas.microsoft.com/office/drawing/2014/chart" uri="{C3380CC4-5D6E-409C-BE32-E72D297353CC}">
              <c16:uniqueId val="{00000000-9D2C-4BDA-88A2-78B84F680D66}"/>
            </c:ext>
          </c:extLst>
        </c:ser>
        <c:dLbls>
          <c:showLegendKey val="0"/>
          <c:showVal val="0"/>
          <c:showCatName val="0"/>
          <c:showSerName val="0"/>
          <c:showPercent val="0"/>
          <c:showBubbleSize val="0"/>
        </c:dLbls>
        <c:marker val="1"/>
        <c:smooth val="0"/>
        <c:axId val="2082466144"/>
        <c:axId val="2019775792"/>
      </c:lineChart>
      <c:catAx>
        <c:axId val="208246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75792"/>
        <c:crosses val="autoZero"/>
        <c:auto val="1"/>
        <c:lblAlgn val="ctr"/>
        <c:lblOffset val="100"/>
        <c:noMultiLvlLbl val="0"/>
      </c:catAx>
      <c:valAx>
        <c:axId val="20197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6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PROJECT.xlsx]Salesperson pvc!PivotTable5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MADE BY SALESPERSON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pvc'!$B$1</c:f>
              <c:strCache>
                <c:ptCount val="1"/>
                <c:pt idx="0">
                  <c:v>Sum of TOTAL ORDER</c:v>
                </c:pt>
              </c:strCache>
            </c:strRef>
          </c:tx>
          <c:spPr>
            <a:solidFill>
              <a:schemeClr val="accent1"/>
            </a:solidFill>
            <a:ln>
              <a:noFill/>
            </a:ln>
            <a:effectLst/>
          </c:spPr>
          <c:invertIfNegative val="0"/>
          <c:cat>
            <c:strRef>
              <c:f>'Salesperson pvc'!$A$2:$A$6</c:f>
              <c:strCache>
                <c:ptCount val="4"/>
                <c:pt idx="0">
                  <c:v>Ankit </c:v>
                </c:pt>
                <c:pt idx="1">
                  <c:v>Neha</c:v>
                </c:pt>
                <c:pt idx="2">
                  <c:v>Priya</c:v>
                </c:pt>
                <c:pt idx="3">
                  <c:v>Rohit</c:v>
                </c:pt>
              </c:strCache>
            </c:strRef>
          </c:cat>
          <c:val>
            <c:numRef>
              <c:f>'Salesperson pvc'!$B$2:$B$6</c:f>
              <c:numCache>
                <c:formatCode>General</c:formatCode>
                <c:ptCount val="4"/>
                <c:pt idx="0">
                  <c:v>13</c:v>
                </c:pt>
                <c:pt idx="1">
                  <c:v>12</c:v>
                </c:pt>
                <c:pt idx="2">
                  <c:v>12</c:v>
                </c:pt>
                <c:pt idx="3">
                  <c:v>13</c:v>
                </c:pt>
              </c:numCache>
            </c:numRef>
          </c:val>
          <c:extLst>
            <c:ext xmlns:c16="http://schemas.microsoft.com/office/drawing/2014/chart" uri="{C3380CC4-5D6E-409C-BE32-E72D297353CC}">
              <c16:uniqueId val="{00000000-D53A-4BAF-BB5B-5B5A4B0F4C02}"/>
            </c:ext>
          </c:extLst>
        </c:ser>
        <c:ser>
          <c:idx val="1"/>
          <c:order val="1"/>
          <c:tx>
            <c:strRef>
              <c:f>'Salesperson pvc'!$C$1</c:f>
              <c:strCache>
                <c:ptCount val="1"/>
                <c:pt idx="0">
                  <c:v>Sum of TOTAL NET SALES</c:v>
                </c:pt>
              </c:strCache>
            </c:strRef>
          </c:tx>
          <c:spPr>
            <a:solidFill>
              <a:schemeClr val="accent2"/>
            </a:solidFill>
            <a:ln>
              <a:noFill/>
            </a:ln>
            <a:effectLst/>
          </c:spPr>
          <c:invertIfNegative val="0"/>
          <c:cat>
            <c:strRef>
              <c:f>'Salesperson pvc'!$A$2:$A$6</c:f>
              <c:strCache>
                <c:ptCount val="4"/>
                <c:pt idx="0">
                  <c:v>Ankit </c:v>
                </c:pt>
                <c:pt idx="1">
                  <c:v>Neha</c:v>
                </c:pt>
                <c:pt idx="2">
                  <c:v>Priya</c:v>
                </c:pt>
                <c:pt idx="3">
                  <c:v>Rohit</c:v>
                </c:pt>
              </c:strCache>
            </c:strRef>
          </c:cat>
          <c:val>
            <c:numRef>
              <c:f>'Salesperson pvc'!$C$2:$C$6</c:f>
              <c:numCache>
                <c:formatCode>General</c:formatCode>
                <c:ptCount val="4"/>
                <c:pt idx="0">
                  <c:v>190962</c:v>
                </c:pt>
                <c:pt idx="1">
                  <c:v>188436</c:v>
                </c:pt>
                <c:pt idx="2">
                  <c:v>460400</c:v>
                </c:pt>
                <c:pt idx="3">
                  <c:v>195735</c:v>
                </c:pt>
              </c:numCache>
            </c:numRef>
          </c:val>
          <c:extLst>
            <c:ext xmlns:c16="http://schemas.microsoft.com/office/drawing/2014/chart" uri="{C3380CC4-5D6E-409C-BE32-E72D297353CC}">
              <c16:uniqueId val="{00000001-D53A-4BAF-BB5B-5B5A4B0F4C02}"/>
            </c:ext>
          </c:extLst>
        </c:ser>
        <c:dLbls>
          <c:showLegendKey val="0"/>
          <c:showVal val="0"/>
          <c:showCatName val="0"/>
          <c:showSerName val="0"/>
          <c:showPercent val="0"/>
          <c:showBubbleSize val="0"/>
        </c:dLbls>
        <c:gapWidth val="219"/>
        <c:axId val="2097148240"/>
        <c:axId val="1859852048"/>
      </c:barChart>
      <c:catAx>
        <c:axId val="20971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52048"/>
        <c:crosses val="autoZero"/>
        <c:auto val="1"/>
        <c:lblAlgn val="ctr"/>
        <c:lblOffset val="100"/>
        <c:noMultiLvlLbl val="0"/>
      </c:catAx>
      <c:valAx>
        <c:axId val="185985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4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PROJECT.xlsx]Pay mode pvc!PivotTable8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PAYMENT MODE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'Pay mode pvc'!$B$1</c:f>
              <c:strCache>
                <c:ptCount val="1"/>
                <c:pt idx="0">
                  <c:v>Sum of total order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BD-48B9-9C9D-A03CC4BE27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BD-48B9-9C9D-A03CC4BE27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BD-48B9-9C9D-A03CC4BE277E}"/>
              </c:ext>
            </c:extLst>
          </c:dPt>
          <c:cat>
            <c:strRef>
              <c:f>'Pay mode pvc'!$A$2:$A$5</c:f>
              <c:strCache>
                <c:ptCount val="3"/>
                <c:pt idx="0">
                  <c:v>card </c:v>
                </c:pt>
                <c:pt idx="1">
                  <c:v>cash </c:v>
                </c:pt>
                <c:pt idx="2">
                  <c:v>upi</c:v>
                </c:pt>
              </c:strCache>
            </c:strRef>
          </c:cat>
          <c:val>
            <c:numRef>
              <c:f>'Pay mode pvc'!$B$2:$B$5</c:f>
              <c:numCache>
                <c:formatCode>General</c:formatCode>
                <c:ptCount val="3"/>
                <c:pt idx="0">
                  <c:v>16</c:v>
                </c:pt>
                <c:pt idx="1">
                  <c:v>11</c:v>
                </c:pt>
                <c:pt idx="2">
                  <c:v>23</c:v>
                </c:pt>
              </c:numCache>
            </c:numRef>
          </c:val>
          <c:extLst>
            <c:ext xmlns:c16="http://schemas.microsoft.com/office/drawing/2014/chart" uri="{C3380CC4-5D6E-409C-BE32-E72D297353CC}">
              <c16:uniqueId val="{00000006-14BD-48B9-9C9D-A03CC4BE277E}"/>
            </c:ext>
          </c:extLst>
        </c:ser>
        <c:ser>
          <c:idx val="1"/>
          <c:order val="1"/>
          <c:tx>
            <c:strRef>
              <c:f>'Pay mode pvc'!$C$1</c:f>
              <c:strCache>
                <c:ptCount val="1"/>
                <c:pt idx="0">
                  <c:v>Sum of TOTAL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4BD-48B9-9C9D-A03CC4BE27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4BD-48B9-9C9D-A03CC4BE27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4BD-48B9-9C9D-A03CC4BE277E}"/>
              </c:ext>
            </c:extLst>
          </c:dPt>
          <c:cat>
            <c:strRef>
              <c:f>'Pay mode pvc'!$A$2:$A$5</c:f>
              <c:strCache>
                <c:ptCount val="3"/>
                <c:pt idx="0">
                  <c:v>card </c:v>
                </c:pt>
                <c:pt idx="1">
                  <c:v>cash </c:v>
                </c:pt>
                <c:pt idx="2">
                  <c:v>upi</c:v>
                </c:pt>
              </c:strCache>
            </c:strRef>
          </c:cat>
          <c:val>
            <c:numRef>
              <c:f>'Pay mode pvc'!$C$2:$C$5</c:f>
              <c:numCache>
                <c:formatCode>General</c:formatCode>
                <c:ptCount val="3"/>
                <c:pt idx="0">
                  <c:v>585455</c:v>
                </c:pt>
                <c:pt idx="1">
                  <c:v>188694</c:v>
                </c:pt>
                <c:pt idx="2">
                  <c:v>261384</c:v>
                </c:pt>
              </c:numCache>
            </c:numRef>
          </c:val>
          <c:extLst>
            <c:ext xmlns:c16="http://schemas.microsoft.com/office/drawing/2014/chart" uri="{C3380CC4-5D6E-409C-BE32-E72D297353CC}">
              <c16:uniqueId val="{0000000D-14BD-48B9-9C9D-A03CC4BE27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 trend!PivotTable7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ANALYSIS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 trend'!$A$2:$A$4</c:f>
              <c:strCache>
                <c:ptCount val="2"/>
                <c:pt idx="0">
                  <c:v>Aug</c:v>
                </c:pt>
                <c:pt idx="1">
                  <c:v>Sep</c:v>
                </c:pt>
              </c:strCache>
            </c:strRef>
          </c:cat>
          <c:val>
            <c:numRef>
              <c:f>'sale trend'!$B$2:$B$4</c:f>
              <c:numCache>
                <c:formatCode>General</c:formatCode>
                <c:ptCount val="2"/>
                <c:pt idx="0">
                  <c:v>669771</c:v>
                </c:pt>
                <c:pt idx="1">
                  <c:v>365762</c:v>
                </c:pt>
              </c:numCache>
            </c:numRef>
          </c:val>
          <c:smooth val="0"/>
          <c:extLst>
            <c:ext xmlns:c16="http://schemas.microsoft.com/office/drawing/2014/chart" uri="{C3380CC4-5D6E-409C-BE32-E72D297353CC}">
              <c16:uniqueId val="{00000000-CB4B-4147-91B7-9544B997E559}"/>
            </c:ext>
          </c:extLst>
        </c:ser>
        <c:dLbls>
          <c:showLegendKey val="0"/>
          <c:showVal val="0"/>
          <c:showCatName val="0"/>
          <c:showSerName val="0"/>
          <c:showPercent val="0"/>
          <c:showBubbleSize val="0"/>
        </c:dLbls>
        <c:marker val="1"/>
        <c:smooth val="0"/>
        <c:axId val="124986064"/>
        <c:axId val="1859847248"/>
      </c:lineChart>
      <c:catAx>
        <c:axId val="1249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47248"/>
        <c:crosses val="autoZero"/>
        <c:auto val="1"/>
        <c:lblAlgn val="ctr"/>
        <c:lblOffset val="100"/>
        <c:noMultiLvlLbl val="0"/>
      </c:catAx>
      <c:valAx>
        <c:axId val="18598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PROJECT.xlsx]Region pvc!PivotTable1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pvc'!$B$1</c:f>
              <c:strCache>
                <c:ptCount val="1"/>
                <c:pt idx="0">
                  <c:v>Sum of Net Sales </c:v>
                </c:pt>
              </c:strCache>
            </c:strRef>
          </c:tx>
          <c:spPr>
            <a:solidFill>
              <a:schemeClr val="accent1"/>
            </a:solidFill>
            <a:ln>
              <a:noFill/>
            </a:ln>
            <a:effectLst/>
          </c:spPr>
          <c:invertIfNegative val="0"/>
          <c:cat>
            <c:strRef>
              <c:f>'Region pvc'!$A$2:$A$6</c:f>
              <c:strCache>
                <c:ptCount val="4"/>
                <c:pt idx="0">
                  <c:v>East</c:v>
                </c:pt>
                <c:pt idx="1">
                  <c:v>North</c:v>
                </c:pt>
                <c:pt idx="2">
                  <c:v>South</c:v>
                </c:pt>
                <c:pt idx="3">
                  <c:v>West</c:v>
                </c:pt>
              </c:strCache>
            </c:strRef>
          </c:cat>
          <c:val>
            <c:numRef>
              <c:f>'Region pvc'!$B$2:$B$6</c:f>
              <c:numCache>
                <c:formatCode>General</c:formatCode>
                <c:ptCount val="4"/>
                <c:pt idx="0">
                  <c:v>230680</c:v>
                </c:pt>
                <c:pt idx="1">
                  <c:v>446058</c:v>
                </c:pt>
                <c:pt idx="2">
                  <c:v>223765</c:v>
                </c:pt>
                <c:pt idx="3">
                  <c:v>135030</c:v>
                </c:pt>
              </c:numCache>
            </c:numRef>
          </c:val>
          <c:extLst>
            <c:ext xmlns:c16="http://schemas.microsoft.com/office/drawing/2014/chart" uri="{C3380CC4-5D6E-409C-BE32-E72D297353CC}">
              <c16:uniqueId val="{00000000-E53B-4A6C-B9A2-CB377B7B5779}"/>
            </c:ext>
          </c:extLst>
        </c:ser>
        <c:ser>
          <c:idx val="1"/>
          <c:order val="1"/>
          <c:tx>
            <c:strRef>
              <c:f>'Region pvc'!$C$1</c:f>
              <c:strCache>
                <c:ptCount val="1"/>
                <c:pt idx="0">
                  <c:v>Sum of Quantity</c:v>
                </c:pt>
              </c:strCache>
            </c:strRef>
          </c:tx>
          <c:spPr>
            <a:solidFill>
              <a:schemeClr val="accent2"/>
            </a:solidFill>
            <a:ln>
              <a:noFill/>
            </a:ln>
            <a:effectLst/>
          </c:spPr>
          <c:invertIfNegative val="0"/>
          <c:cat>
            <c:strRef>
              <c:f>'Region pvc'!$A$2:$A$6</c:f>
              <c:strCache>
                <c:ptCount val="4"/>
                <c:pt idx="0">
                  <c:v>East</c:v>
                </c:pt>
                <c:pt idx="1">
                  <c:v>North</c:v>
                </c:pt>
                <c:pt idx="2">
                  <c:v>South</c:v>
                </c:pt>
                <c:pt idx="3">
                  <c:v>West</c:v>
                </c:pt>
              </c:strCache>
            </c:strRef>
          </c:cat>
          <c:val>
            <c:numRef>
              <c:f>'Region pvc'!$C$2:$C$6</c:f>
              <c:numCache>
                <c:formatCode>General</c:formatCode>
                <c:ptCount val="4"/>
                <c:pt idx="0">
                  <c:v>21</c:v>
                </c:pt>
                <c:pt idx="1">
                  <c:v>40</c:v>
                </c:pt>
                <c:pt idx="2">
                  <c:v>40</c:v>
                </c:pt>
                <c:pt idx="3">
                  <c:v>28</c:v>
                </c:pt>
              </c:numCache>
            </c:numRef>
          </c:val>
          <c:extLst>
            <c:ext xmlns:c16="http://schemas.microsoft.com/office/drawing/2014/chart" uri="{C3380CC4-5D6E-409C-BE32-E72D297353CC}">
              <c16:uniqueId val="{00000001-E53B-4A6C-B9A2-CB377B7B5779}"/>
            </c:ext>
          </c:extLst>
        </c:ser>
        <c:dLbls>
          <c:showLegendKey val="0"/>
          <c:showVal val="0"/>
          <c:showCatName val="0"/>
          <c:showSerName val="0"/>
          <c:showPercent val="0"/>
          <c:showBubbleSize val="0"/>
        </c:dLbls>
        <c:gapWidth val="219"/>
        <c:overlap val="-27"/>
        <c:axId val="2021648272"/>
        <c:axId val="2019805072"/>
      </c:barChart>
      <c:catAx>
        <c:axId val="20216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5072"/>
        <c:crosses val="autoZero"/>
        <c:auto val="1"/>
        <c:lblAlgn val="ctr"/>
        <c:lblOffset val="100"/>
        <c:noMultiLvlLbl val="0"/>
      </c:catAx>
      <c:valAx>
        <c:axId val="20198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335280</xdr:colOff>
      <xdr:row>0</xdr:row>
      <xdr:rowOff>129540</xdr:rowOff>
    </xdr:from>
    <xdr:to>
      <xdr:col>11</xdr:col>
      <xdr:colOff>586740</xdr:colOff>
      <xdr:row>15</xdr:row>
      <xdr:rowOff>129540</xdr:rowOff>
    </xdr:to>
    <xdr:graphicFrame macro="">
      <xdr:nvGraphicFramePr>
        <xdr:cNvPr id="2" name="Chart 1">
          <a:extLst>
            <a:ext uri="{FF2B5EF4-FFF2-40B4-BE49-F238E27FC236}">
              <a16:creationId xmlns:a16="http://schemas.microsoft.com/office/drawing/2014/main" id="{255CD9D9-152A-B1D2-E8CF-649E83273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342900</xdr:colOff>
      <xdr:row>1</xdr:row>
      <xdr:rowOff>0</xdr:rowOff>
    </xdr:from>
    <xdr:to>
      <xdr:col>14</xdr:col>
      <xdr:colOff>38100</xdr:colOff>
      <xdr:row>16</xdr:row>
      <xdr:rowOff>0</xdr:rowOff>
    </xdr:to>
    <xdr:graphicFrame macro="">
      <xdr:nvGraphicFramePr>
        <xdr:cNvPr id="2" name="Chart 1">
          <a:extLst>
            <a:ext uri="{FF2B5EF4-FFF2-40B4-BE49-F238E27FC236}">
              <a16:creationId xmlns:a16="http://schemas.microsoft.com/office/drawing/2014/main" id="{E0A38BD3-65A6-E468-CD59-61FAE6274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99060</xdr:colOff>
      <xdr:row>11</xdr:row>
      <xdr:rowOff>167640</xdr:rowOff>
    </xdr:from>
    <xdr:to>
      <xdr:col>2</xdr:col>
      <xdr:colOff>906780</xdr:colOff>
      <xdr:row>25</xdr:row>
      <xdr:rowOff>74295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CBB041B-DD09-5FA8-E8C9-761FA08B37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120" y="2179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11</xdr:row>
      <xdr:rowOff>30480</xdr:rowOff>
    </xdr:from>
    <xdr:to>
      <xdr:col>17</xdr:col>
      <xdr:colOff>327660</xdr:colOff>
      <xdr:row>24</xdr:row>
      <xdr:rowOff>120015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6A33128-1B9D-8DA6-0B85-16D7FA496E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989820" y="204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BC5FE86-F8E1-1BA4-6A77-0D96EA39A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3732377-3B2C-CFCF-D8C0-CB9D8AC6B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1013460</xdr:colOff>
      <xdr:row>10</xdr:row>
      <xdr:rowOff>30480</xdr:rowOff>
    </xdr:from>
    <xdr:to>
      <xdr:col>3</xdr:col>
      <xdr:colOff>167640</xdr:colOff>
      <xdr:row>23</xdr:row>
      <xdr:rowOff>120015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E4A069BD-D51E-7EA6-43EE-DF06240AB87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874520" y="1859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9028DF4-E860-3EC8-6086-CFD741893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601980</xdr:colOff>
      <xdr:row>21</xdr:row>
      <xdr:rowOff>7620</xdr:rowOff>
    </xdr:from>
    <xdr:to>
      <xdr:col>14</xdr:col>
      <xdr:colOff>15240</xdr:colOff>
      <xdr:row>33</xdr:row>
      <xdr:rowOff>0</xdr:rowOff>
    </xdr:to>
    <xdr:graphicFrame macro="">
      <xdr:nvGraphicFramePr>
        <xdr:cNvPr id="2" name="Chart 1">
          <a:extLst>
            <a:ext uri="{FF2B5EF4-FFF2-40B4-BE49-F238E27FC236}">
              <a16:creationId xmlns:a16="http://schemas.microsoft.com/office/drawing/2014/main" id="{F5B4987E-BAE6-440C-A47E-943CDD005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37</xdr:row>
      <xdr:rowOff>0</xdr:rowOff>
    </xdr:from>
    <xdr:to>
      <xdr:col>7</xdr:col>
      <xdr:colOff>22860</xdr:colOff>
      <xdr:row>49</xdr:row>
      <xdr:rowOff>175260</xdr:rowOff>
    </xdr:to>
    <xdr:graphicFrame macro="">
      <xdr:nvGraphicFramePr>
        <xdr:cNvPr id="4" name="Chart 3">
          <a:extLst>
            <a:ext uri="{FF2B5EF4-FFF2-40B4-BE49-F238E27FC236}">
              <a16:creationId xmlns:a16="http://schemas.microsoft.com/office/drawing/2014/main" id="{8E46F16B-DA65-45F6-87FC-28796C13B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37</xdr:row>
      <xdr:rowOff>15240</xdr:rowOff>
    </xdr:from>
    <xdr:to>
      <xdr:col>14</xdr:col>
      <xdr:colOff>22860</xdr:colOff>
      <xdr:row>50</xdr:row>
      <xdr:rowOff>15240</xdr:rowOff>
    </xdr:to>
    <xdr:graphicFrame macro="">
      <xdr:nvGraphicFramePr>
        <xdr:cNvPr id="6" name="Chart 5">
          <a:extLst>
            <a:ext uri="{FF2B5EF4-FFF2-40B4-BE49-F238E27FC236}">
              <a16:creationId xmlns:a16="http://schemas.microsoft.com/office/drawing/2014/main" id="{C03F42CC-B203-4690-9B3D-4628E2378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172065</xdr:colOff>
      <xdr:row>56</xdr:row>
      <xdr:rowOff>0</xdr:rowOff>
    </xdr:from>
    <xdr:to>
      <xdr:col>11</xdr:col>
      <xdr:colOff>350521</xdr:colOff>
      <xdr:row>71</xdr:row>
      <xdr:rowOff>98322</xdr:rowOff>
    </xdr:to>
    <xdr:graphicFrame macro="">
      <xdr:nvGraphicFramePr>
        <xdr:cNvPr id="7" name="MONTHLY SALES ANALYSIS ">
          <a:extLst>
            <a:ext uri="{FF2B5EF4-FFF2-40B4-BE49-F238E27FC236}">
              <a16:creationId xmlns:a16="http://schemas.microsoft.com/office/drawing/2014/main" id="{5C6814AF-073C-43A8-A16E-B515CF489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21</xdr:row>
      <xdr:rowOff>0</xdr:rowOff>
    </xdr:from>
    <xdr:to>
      <xdr:col>7</xdr:col>
      <xdr:colOff>24580</xdr:colOff>
      <xdr:row>32</xdr:row>
      <xdr:rowOff>122903</xdr:rowOff>
    </xdr:to>
    <xdr:graphicFrame macro="">
      <xdr:nvGraphicFramePr>
        <xdr:cNvPr id="5" name="Chart 4">
          <a:extLst>
            <a:ext uri="{FF2B5EF4-FFF2-40B4-BE49-F238E27FC236}">
              <a16:creationId xmlns:a16="http://schemas.microsoft.com/office/drawing/2014/main" id="{AD364BAB-23AA-4022-9A33-8E0F061AB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8</xdr:row>
      <xdr:rowOff>0</xdr:rowOff>
    </xdr:from>
    <xdr:to>
      <xdr:col>3</xdr:col>
      <xdr:colOff>36871</xdr:colOff>
      <xdr:row>14</xdr:row>
      <xdr:rowOff>49162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05C80EE-C1C0-43E9-92A6-8501A4757D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5928" y="1468916"/>
              <a:ext cx="1248726" cy="1150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15550</xdr:colOff>
      <xdr:row>8</xdr:row>
      <xdr:rowOff>23326</xdr:rowOff>
    </xdr:from>
    <xdr:to>
      <xdr:col>6</xdr:col>
      <xdr:colOff>433421</xdr:colOff>
      <xdr:row>14</xdr:row>
      <xdr:rowOff>32106</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5537A817-60E8-4787-8ED6-04F8E7360D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439261" y="1492242"/>
              <a:ext cx="1850064" cy="1110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8</xdr:row>
      <xdr:rowOff>1</xdr:rowOff>
    </xdr:from>
    <xdr:to>
      <xdr:col>10</xdr:col>
      <xdr:colOff>540774</xdr:colOff>
      <xdr:row>13</xdr:row>
      <xdr:rowOff>147485</xdr:rowOff>
    </xdr:to>
    <mc:AlternateContent xmlns:mc="http://schemas.openxmlformats.org/markup-compatibility/2006" xmlns:a14="http://schemas.microsoft.com/office/drawing/2010/main">
      <mc:Choice Requires="a14">
        <xdr:graphicFrame macro="">
          <xdr:nvGraphicFramePr>
            <xdr:cNvPr id="10" name="payment mode 1">
              <a:extLst>
                <a:ext uri="{FF2B5EF4-FFF2-40B4-BE49-F238E27FC236}">
                  <a16:creationId xmlns:a16="http://schemas.microsoft.com/office/drawing/2014/main" id="{367C2AA3-F802-409E-ABCE-B030151EEA2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5132024" y="1468917"/>
              <a:ext cx="1752630" cy="1065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012785995372" createdVersion="8" refreshedVersion="8" minRefreshableVersion="3" recordCount="59" xr:uid="{6D20CC53-309D-42BD-B488-FFF971A91F8C}">
  <cacheSource type="worksheet">
    <worksheetSource ref="A1:O61" sheet="Raw Data "/>
  </cacheSource>
  <cacheFields count="17">
    <cacheField name="Order_ID" numFmtId="0">
      <sharedItems containsBlank="1"/>
    </cacheField>
    <cacheField name="Order_Date" numFmtId="0">
      <sharedItems containsNonDate="0" containsDate="1" containsString="0" containsBlank="1" minDate="2026-08-01T00:00:00" maxDate="2026-09-20T00:00:00" count="51">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m/>
      </sharedItems>
      <fieldGroup par="16"/>
    </cacheField>
    <cacheField name="Customer" numFmtId="0">
      <sharedItems containsBlank="1"/>
    </cacheField>
    <cacheField name="Region" numFmtId="0">
      <sharedItems containsBlank="1" count="5">
        <s v="North"/>
        <s v="West"/>
        <s v="South"/>
        <s v="East"/>
        <m/>
      </sharedItems>
    </cacheField>
    <cacheField name="City" numFmtId="0">
      <sharedItems containsBlank="1" containsMixedTypes="1" containsNumber="1" containsInteger="1" minValue="135030" maxValue="446058"/>
    </cacheField>
    <cacheField name="Product" numFmtId="0">
      <sharedItems containsBlank="1" count="9">
        <s v="Laptop"/>
        <s v="Mouse"/>
        <s v="Keyboard"/>
        <s v="Monitor"/>
        <s v="Headphones"/>
        <s v="Printer"/>
        <s v="USB Cable"/>
        <s v="Tablet"/>
        <m/>
      </sharedItems>
    </cacheField>
    <cacheField name="Category" numFmtId="0">
      <sharedItems containsBlank="1"/>
    </cacheField>
    <cacheField name="Quantity" numFmtId="0">
      <sharedItems containsString="0" containsBlank="1" containsNumber="1" containsInteger="1" minValue="1" maxValue="129"/>
    </cacheField>
    <cacheField name="Unit_Price" numFmtId="0">
      <sharedItems containsString="0" containsBlank="1" containsNumber="1" containsInteger="1" minValue="350" maxValue="60000"/>
    </cacheField>
    <cacheField name="Discount" numFmtId="0">
      <sharedItems containsString="0" containsBlank="1" containsNumber="1" minValue="0" maxValue="0.1"/>
    </cacheField>
    <cacheField name="Payment_Mode" numFmtId="0">
      <sharedItems containsBlank="1" count="4">
        <s v="UPI"/>
        <s v="Card"/>
        <s v="Cash"/>
        <m/>
      </sharedItems>
    </cacheField>
    <cacheField name="Salesperson" numFmtId="0">
      <sharedItems containsBlank="1" count="5">
        <s v="Ankit"/>
        <s v="Neha"/>
        <s v="Rohit"/>
        <s v="Priya"/>
        <m/>
      </sharedItems>
    </cacheField>
    <cacheField name="Gross Sales " numFmtId="0">
      <sharedItems containsString="0" containsBlank="1" containsNumber="1" containsInteger="1" minValue="1600" maxValue="108000"/>
    </cacheField>
    <cacheField name="Discount AMT " numFmtId="0">
      <sharedItems containsBlank="1" containsMixedTypes="1" containsNumber="1" minValue="0" maxValue="8320"/>
    </cacheField>
    <cacheField name="Net Sales " numFmtId="0">
      <sharedItems containsString="0" containsBlank="1" containsNumber="1" minValue="1520" maxValue="1035533"/>
    </cacheField>
    <cacheField name="Days (Order_Date)" numFmtId="0" databaseField="0">
      <fieldGroup base="1">
        <rangePr groupBy="days" startDate="2026-08-01T00:00:00" endDate="2026-09-20T00:00:00"/>
        <groupItems count="368">
          <s v="&lt;01-08-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9-2026"/>
        </groupItems>
      </fieldGroup>
    </cacheField>
    <cacheField name="Months (Order_Date)" numFmtId="0" databaseField="0">
      <fieldGroup base="1">
        <rangePr groupBy="months" startDate="2026-08-01T00:00:00" endDate="2026-09-20T00:00:00"/>
        <groupItems count="14">
          <s v="&lt;01-08-2026"/>
          <s v="Jan"/>
          <s v="Feb"/>
          <s v="Mar"/>
          <s v="Apr"/>
          <s v="May"/>
          <s v="Jun"/>
          <s v="Jul"/>
          <s v="Aug"/>
          <s v="Sep"/>
          <s v="Oct"/>
          <s v="Nov"/>
          <s v="Dec"/>
          <s v="&gt;20-09-2026"/>
        </groupItems>
      </fieldGroup>
    </cacheField>
  </cacheFields>
  <extLst>
    <ext xmlns:x14="http://schemas.microsoft.com/office/spreadsheetml/2009/9/main" uri="{725AE2AE-9491-48be-B2B4-4EB974FC3084}">
      <x14:pivotCacheDefinition pivotCacheId="18012631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020809374997" createdVersion="8" refreshedVersion="8" minRefreshableVersion="3" recordCount="4" xr:uid="{6507228B-4952-41B7-B72A-80FC13CB747B}">
  <cacheSource type="worksheet">
    <worksheetSource ref="A1:D5" sheet="Salesperson Analysis"/>
  </cacheSource>
  <cacheFields count="4">
    <cacheField name="SALES PERSON" numFmtId="0">
      <sharedItems count="4">
        <s v="Ankit "/>
        <s v="Neha"/>
        <s v="Rohit"/>
        <s v="Priya"/>
      </sharedItems>
    </cacheField>
    <cacheField name="TOTAL ORDER" numFmtId="0">
      <sharedItems containsSemiMixedTypes="0" containsString="0" containsNumber="1" containsInteger="1" minValue="12" maxValue="13"/>
    </cacheField>
    <cacheField name="TOTAL NET SALES" numFmtId="0">
      <sharedItems containsSemiMixedTypes="0" containsString="0" containsNumber="1" containsInteger="1" minValue="188436" maxValue="460400"/>
    </cacheField>
    <cacheField name="TOTAL AVERAGE SALES" numFmtId="2">
      <sharedItems containsSemiMixedTypes="0" containsString="0" containsNumber="1" minValue="14689.384615384615" maxValue="38366.6666666666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030633912036" createdVersion="8" refreshedVersion="8" minRefreshableVersion="3" recordCount="3" xr:uid="{58FF034C-478F-4B1D-BE52-39DF13E3DD47}">
  <cacheSource type="worksheet">
    <worksheetSource ref="J1:L4" sheet="Salesperson Analysis"/>
  </cacheSource>
  <cacheFields count="3">
    <cacheField name="payment mode" numFmtId="0">
      <sharedItems count="3">
        <s v="card "/>
        <s v="cash "/>
        <s v="upi"/>
      </sharedItems>
    </cacheField>
    <cacheField name="total order" numFmtId="0">
      <sharedItems containsSemiMixedTypes="0" containsString="0" containsNumber="1" containsInteger="1" minValue="11" maxValue="23"/>
    </cacheField>
    <cacheField name="TOTAL NET SALES" numFmtId="0">
      <sharedItems containsSemiMixedTypes="0" containsString="0" containsNumber="1" containsInteger="1" minValue="188694" maxValue="585455"/>
    </cacheField>
  </cacheFields>
  <extLst>
    <ext xmlns:x14="http://schemas.microsoft.com/office/spreadsheetml/2009/9/main" uri="{725AE2AE-9491-48be-B2B4-4EB974FC3084}">
      <x14:pivotCacheDefinition pivotCacheId="1004697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ORD1001"/>
    <x v="0"/>
    <s v="Rahul Sharma"/>
    <x v="0"/>
    <s v="Delhi"/>
    <x v="0"/>
    <s v="Electronics"/>
    <n v="1"/>
    <n v="55000"/>
    <n v="0.05"/>
    <x v="0"/>
    <x v="0"/>
    <n v="55000"/>
    <n v="2750"/>
    <n v="52250"/>
  </r>
  <r>
    <s v="ORD1002"/>
    <x v="1"/>
    <s v="Priya Singh"/>
    <x v="0"/>
    <s v="Gurgaon"/>
    <x v="1"/>
    <s v="Accessories"/>
    <n v="3"/>
    <n v="800"/>
    <n v="0"/>
    <x v="1"/>
    <x v="1"/>
    <n v="2400"/>
    <n v="0"/>
    <n v="2400"/>
  </r>
  <r>
    <s v="ORD1003"/>
    <x v="2"/>
    <s v="Aman Verma"/>
    <x v="1"/>
    <s v="Mumbai"/>
    <x v="2"/>
    <s v="Accessories"/>
    <n v="2"/>
    <n v="1500"/>
    <n v="0.1"/>
    <x v="0"/>
    <x v="2"/>
    <n v="3000"/>
    <n v="300"/>
    <n v="2700"/>
  </r>
  <r>
    <s v="ORD1004"/>
    <x v="3"/>
    <s v="Simran Kaur"/>
    <x v="0"/>
    <s v="Delhi"/>
    <x v="3"/>
    <s v="Electronics"/>
    <n v="1"/>
    <n v="12500"/>
    <n v="0.05"/>
    <x v="2"/>
    <x v="0"/>
    <n v="12500"/>
    <n v="625"/>
    <n v="11875"/>
  </r>
  <r>
    <s v="ORD1005"/>
    <x v="4"/>
    <s v="Arjun Mehta"/>
    <x v="2"/>
    <s v="Bangalore"/>
    <x v="0"/>
    <s v="Electronics"/>
    <n v="2"/>
    <n v="52000"/>
    <n v="0.08"/>
    <x v="1"/>
    <x v="3"/>
    <n v="104000"/>
    <n v="8320"/>
    <n v="95680"/>
  </r>
  <r>
    <s v="ORD1006"/>
    <x v="5"/>
    <s v="Neha Gupta"/>
    <x v="3"/>
    <s v="Kolkata"/>
    <x v="4"/>
    <s v="Accessories"/>
    <n v="4"/>
    <n v="2200"/>
    <n v="0.05"/>
    <x v="0"/>
    <x v="2"/>
    <n v="8800"/>
    <n v="440"/>
    <n v="8360"/>
  </r>
  <r>
    <s v="ORD1007"/>
    <x v="6"/>
    <s v="Karan Malhotra"/>
    <x v="0"/>
    <s v="Noida"/>
    <x v="5"/>
    <s v="Electronics"/>
    <n v="1"/>
    <n v="14500"/>
    <n v="0.1"/>
    <x v="1"/>
    <x v="1"/>
    <n v="14500"/>
    <n v="1450"/>
    <n v="13050"/>
  </r>
  <r>
    <s v="ORD1008"/>
    <x v="7"/>
    <s v="Riya Jain"/>
    <x v="1"/>
    <s v="Pune"/>
    <x v="6"/>
    <s v="Accessories"/>
    <n v="5"/>
    <n v="450"/>
    <n v="0"/>
    <x v="0"/>
    <x v="0"/>
    <n v="2250"/>
    <n v="0"/>
    <n v="2250"/>
  </r>
  <r>
    <s v="ORD1009"/>
    <x v="8"/>
    <s v="Vikas Yadav"/>
    <x v="0"/>
    <s v="Delhi"/>
    <x v="7"/>
    <s v="Electronics"/>
    <n v="1"/>
    <n v="28000"/>
    <n v="7.0000000000000007E-2"/>
    <x v="2"/>
    <x v="3"/>
    <n v="28000"/>
    <n v="1960.0000000000002"/>
    <n v="26040"/>
  </r>
  <r>
    <s v="ORD1010"/>
    <x v="9"/>
    <s v="Isha Kapoor"/>
    <x v="2"/>
    <s v="Chennai"/>
    <x v="2"/>
    <s v="Accessories"/>
    <n v="3"/>
    <n v="1600"/>
    <n v="0.05"/>
    <x v="0"/>
    <x v="2"/>
    <n v="4800"/>
    <n v="240"/>
    <n v="4560"/>
  </r>
  <r>
    <s v="ORD1011"/>
    <x v="10"/>
    <s v="Mohit Kumar"/>
    <x v="3"/>
    <s v="Kolkata"/>
    <x v="3"/>
    <s v="Electronics"/>
    <n v="2"/>
    <n v="11800"/>
    <n v="0.1"/>
    <x v="1"/>
    <x v="1"/>
    <n v="23600"/>
    <n v="2360"/>
    <n v="21240"/>
  </r>
  <r>
    <s v="ORD1012"/>
    <x v="11"/>
    <s v="Sneha Arora"/>
    <x v="0"/>
    <s v="Gurgaon"/>
    <x v="1"/>
    <s v="Accessories"/>
    <n v="6"/>
    <n v="750"/>
    <n v="0.05"/>
    <x v="0"/>
    <x v="0"/>
    <n v="4500"/>
    <n v="225"/>
    <n v="4275"/>
  </r>
  <r>
    <s v="ORD1013"/>
    <x v="12"/>
    <s v="Dev Raj"/>
    <x v="1"/>
    <s v="Mumbai"/>
    <x v="0"/>
    <s v="Electronics"/>
    <n v="1"/>
    <n v="60000"/>
    <n v="0.1"/>
    <x v="1"/>
    <x v="3"/>
    <n v="60000"/>
    <n v="6000"/>
    <n v="54000"/>
  </r>
  <r>
    <s v="ORD1014"/>
    <x v="13"/>
    <s v="Pooja Sharma"/>
    <x v="0"/>
    <s v="Delhi"/>
    <x v="4"/>
    <s v="Accessories"/>
    <n v="2"/>
    <n v="2500"/>
    <n v="0"/>
    <x v="2"/>
    <x v="2"/>
    <n v="5000"/>
    <n v="0"/>
    <n v="5000"/>
  </r>
  <r>
    <s v="ORD1015"/>
    <x v="14"/>
    <s v="Yash Saini"/>
    <x v="2"/>
    <s v="Bangalore"/>
    <x v="5"/>
    <s v="Electronics"/>
    <n v="1"/>
    <n v="15000"/>
    <n v="0.05"/>
    <x v="0"/>
    <x v="1"/>
    <n v="15000"/>
    <n v="750"/>
    <n v="14250"/>
  </r>
  <r>
    <s v="ORD1016"/>
    <x v="15"/>
    <s v="Anjali Verma"/>
    <x v="3"/>
    <s v="Kolkata"/>
    <x v="7"/>
    <s v="Electronics"/>
    <n v="2"/>
    <n v="26500"/>
    <n v="0.08"/>
    <x v="1"/>
    <x v="0"/>
    <n v="53000"/>
    <n v="4240"/>
    <n v="48760"/>
  </r>
  <r>
    <s v="ORD1017"/>
    <x v="16"/>
    <s v="Rohan Das"/>
    <x v="1"/>
    <s v="Pune"/>
    <x v="6"/>
    <s v="Accessories"/>
    <n v="8"/>
    <n v="400"/>
    <n v="0"/>
    <x v="0"/>
    <x v="3"/>
    <n v="3200"/>
    <n v="0"/>
    <n v="3200"/>
  </r>
  <r>
    <s v="ORD1018"/>
    <x v="17"/>
    <s v="Komal Gupta"/>
    <x v="0"/>
    <s v="Noida"/>
    <x v="3"/>
    <s v="Electronics"/>
    <n v="1"/>
    <n v="13000"/>
    <n v="0.05"/>
    <x v="2"/>
    <x v="2"/>
    <n v="13000"/>
    <n v="650"/>
    <n v="12350"/>
  </r>
  <r>
    <s v="ORD1019"/>
    <x v="18"/>
    <s v="Aditya Singh"/>
    <x v="2"/>
    <s v="Chennai"/>
    <x v="0"/>
    <s v="Electronics"/>
    <n v="1"/>
    <n v="57000"/>
    <n v="7.0000000000000007E-2"/>
    <x v="1"/>
    <x v="1"/>
    <n v="57000"/>
    <n v="3990.0000000000005"/>
    <n v="53010"/>
  </r>
  <r>
    <s v="ORD1020"/>
    <x v="19"/>
    <s v="Manisha Roy"/>
    <x v="3"/>
    <s v="Kolkata"/>
    <x v="1"/>
    <s v="Accessories"/>
    <n v="4"/>
    <n v="850"/>
    <n v="0.05"/>
    <x v="0"/>
    <x v="0"/>
    <n v="3400"/>
    <n v="170"/>
    <n v="3230"/>
  </r>
  <r>
    <s v="ORD1021"/>
    <x v="20"/>
    <s v="Raj Malhotra"/>
    <x v="0"/>
    <s v="Delhi"/>
    <x v="2"/>
    <s v="Accessories"/>
    <n v="2"/>
    <n v="1700"/>
    <n v="0.1"/>
    <x v="1"/>
    <x v="3"/>
    <n v="3400"/>
    <n v="340"/>
    <n v="3060"/>
  </r>
  <r>
    <s v="ORD1022"/>
    <x v="21"/>
    <s v="Tanya Jain"/>
    <x v="1"/>
    <s v="Mumbai"/>
    <x v="7"/>
    <s v="Electronics"/>
    <n v="1"/>
    <n v="29000"/>
    <n v="0.05"/>
    <x v="0"/>
    <x v="2"/>
    <n v="29000"/>
    <n v="1450"/>
    <n v="27550"/>
  </r>
  <r>
    <s v="ORD1023"/>
    <x v="22"/>
    <s v="Sahil Khan"/>
    <x v="2"/>
    <s v="Bangalore"/>
    <x v="4"/>
    <s v="Accessories"/>
    <n v="5"/>
    <n v="2300"/>
    <n v="0.08"/>
    <x v="2"/>
    <x v="1"/>
    <n v="11500"/>
    <n v="920"/>
    <n v="10580"/>
  </r>
  <r>
    <s v="ORD1024"/>
    <x v="23"/>
    <s v="Divya Sharma"/>
    <x v="0"/>
    <s v="Gurgaon"/>
    <x v="5"/>
    <s v="Electronics"/>
    <n v="1"/>
    <n v="15500"/>
    <n v="0.1"/>
    <x v="0"/>
    <x v="0"/>
    <n v="15500"/>
    <n v="1550"/>
    <n v="13950"/>
  </r>
  <r>
    <s v="ORD1025"/>
    <x v="24"/>
    <s v="Nitin Kumar"/>
    <x v="3"/>
    <s v="Kolkata"/>
    <x v="0"/>
    <s v="Electronics"/>
    <n v="2"/>
    <n v="54000"/>
    <n v="0.05"/>
    <x v="1"/>
    <x v="3"/>
    <n v="108000"/>
    <n v="5400"/>
    <n v="102600"/>
  </r>
  <r>
    <s v="ORD1026"/>
    <x v="25"/>
    <s v="Ayesha Khan"/>
    <x v="1"/>
    <s v="Pune"/>
    <x v="1"/>
    <s v="Accessories"/>
    <n v="3"/>
    <n v="900"/>
    <n v="0"/>
    <x v="0"/>
    <x v="2"/>
    <n v="2700"/>
    <n v="0"/>
    <n v="2700"/>
  </r>
  <r>
    <s v="ORD1027"/>
    <x v="26"/>
    <s v="Varun Mehta"/>
    <x v="0"/>
    <s v="Noida"/>
    <x v="3"/>
    <s v="Electronics"/>
    <n v="2"/>
    <n v="12000"/>
    <n v="7.0000000000000007E-2"/>
    <x v="2"/>
    <x v="1"/>
    <n v="24000"/>
    <n v="1680.0000000000002"/>
    <n v="22320"/>
  </r>
  <r>
    <s v="ORD1028"/>
    <x v="27"/>
    <s v="Kriti Singh"/>
    <x v="2"/>
    <s v="Chennai"/>
    <x v="6"/>
    <s v="Accessories"/>
    <n v="10"/>
    <n v="350"/>
    <n v="0.05"/>
    <x v="0"/>
    <x v="0"/>
    <n v="3500"/>
    <n v="175"/>
    <n v="3325"/>
  </r>
  <r>
    <s v="ORD1029"/>
    <x v="28"/>
    <s v="Manav Gupta"/>
    <x v="3"/>
    <s v="Kolkata"/>
    <x v="7"/>
    <s v="Electronics"/>
    <n v="1"/>
    <n v="27500"/>
    <n v="0.1"/>
    <x v="1"/>
    <x v="3"/>
    <n v="27500"/>
    <n v="2750"/>
    <n v="24750"/>
  </r>
  <r>
    <s v="ORD1030"/>
    <x v="29"/>
    <s v="Ritika Jain"/>
    <x v="0"/>
    <s v="Delhi"/>
    <x v="4"/>
    <s v="Accessories"/>
    <n v="3"/>
    <n v="2400"/>
    <n v="0.05"/>
    <x v="0"/>
    <x v="2"/>
    <n v="7200"/>
    <n v="360"/>
    <n v="6840"/>
  </r>
  <r>
    <s v="ORD1031"/>
    <x v="30"/>
    <s v="Ashish Verma"/>
    <x v="1"/>
    <s v="Mumbai"/>
    <x v="5"/>
    <s v="Electronics"/>
    <n v="1"/>
    <n v="14800"/>
    <n v="0.08"/>
    <x v="2"/>
    <x v="1"/>
    <n v="14800"/>
    <n v="1184"/>
    <n v="13616"/>
  </r>
  <r>
    <s v="ORD1032"/>
    <x v="31"/>
    <s v="Nisha Kapoor"/>
    <x v="2"/>
    <s v="Bangalore"/>
    <x v="2"/>
    <s v="Accessories"/>
    <n v="4"/>
    <n v="1550"/>
    <n v="0"/>
    <x v="1"/>
    <x v="0"/>
    <n v="6200"/>
    <n v="0"/>
    <n v="6200"/>
  </r>
  <r>
    <s v="ORD1033"/>
    <x v="32"/>
    <s v="Harsh Yadav"/>
    <x v="3"/>
    <s v="Kolkata"/>
    <x v="3"/>
    <s v="Electronics"/>
    <n v="1"/>
    <n v="12200"/>
    <n v="0.05"/>
    <x v="0"/>
    <x v="3"/>
    <n v="12200"/>
    <n v="610"/>
    <n v="11590"/>
  </r>
  <r>
    <s v="ORD1034"/>
    <x v="33"/>
    <s v="Sakshi Arora"/>
    <x v="0"/>
    <s v="Gurgaon"/>
    <x v="0"/>
    <s v="Electronics"/>
    <n v="1"/>
    <n v="58000"/>
    <n v="0.1"/>
    <x v="1"/>
    <x v="2"/>
    <n v="58000"/>
    <n v="5800"/>
    <n v="52200"/>
  </r>
  <r>
    <s v="ORD1035"/>
    <x v="34"/>
    <s v="Varun Mehta"/>
    <x v="0"/>
    <s v="Noida"/>
    <x v="1"/>
    <s v="Accessories"/>
    <n v="2"/>
    <n v="800"/>
    <n v="0.05"/>
    <x v="0"/>
    <x v="1"/>
    <n v="1600"/>
    <n v="80"/>
    <n v="1520"/>
  </r>
  <r>
    <s v="ORD1036"/>
    <x v="35"/>
    <s v="Neha Gupta"/>
    <x v="3"/>
    <s v="Kolkata"/>
    <x v="2"/>
    <s v="Accessories"/>
    <n v="1"/>
    <n v="1600"/>
    <n v="0"/>
    <x v="2"/>
    <x v="0"/>
    <n v="1600"/>
    <n v="0"/>
    <n v="1600"/>
  </r>
  <r>
    <s v="ORD1037"/>
    <x v="36"/>
    <s v="Rahul Sharma"/>
    <x v="0"/>
    <s v="Delhi"/>
    <x v="7"/>
    <s v="Electronics"/>
    <n v="2"/>
    <n v="28500"/>
    <n v="7.0000000000000007E-2"/>
    <x v="0"/>
    <x v="3"/>
    <n v="57000"/>
    <n v="3990.0000000000005"/>
    <n v="53010"/>
  </r>
  <r>
    <s v="ORD1038"/>
    <x v="37"/>
    <s v="Priya Singh"/>
    <x v="0"/>
    <s v="Gurgaon"/>
    <x v="4"/>
    <s v="Accessories"/>
    <n v="3"/>
    <n v="2100"/>
    <n v="0.05"/>
    <x v="1"/>
    <x v="2"/>
    <n v="6300"/>
    <n v="315"/>
    <n v="5985"/>
  </r>
  <r>
    <s v="ORD1039"/>
    <x v="38"/>
    <s v="Aman Verma"/>
    <x v="1"/>
    <s v="Mumbai"/>
    <x v="3"/>
    <s v="Electronics"/>
    <n v="1"/>
    <n v="12800"/>
    <n v="0.1"/>
    <x v="0"/>
    <x v="1"/>
    <n v="12800"/>
    <n v="1280"/>
    <n v="11520"/>
  </r>
  <r>
    <s v="ORD1040"/>
    <x v="39"/>
    <s v="Simran Kaur"/>
    <x v="0"/>
    <s v="Delhi"/>
    <x v="5"/>
    <s v="Electronics"/>
    <n v="2"/>
    <n v="14200"/>
    <n v="0.08"/>
    <x v="2"/>
    <x v="0"/>
    <n v="28400"/>
    <n v="2272"/>
    <n v="26128"/>
  </r>
  <r>
    <s v="ORD1041"/>
    <x v="40"/>
    <s v="Arjun Mehta"/>
    <x v="2"/>
    <s v="Bangalore"/>
    <x v="6"/>
    <s v="Accessories"/>
    <n v="6"/>
    <n v="420"/>
    <n v="0"/>
    <x v="0"/>
    <x v="3"/>
    <n v="2520"/>
    <n v="0"/>
    <n v="2520"/>
  </r>
  <r>
    <s v="ORD1042"/>
    <x v="41"/>
    <s v="Karan Malhotra"/>
    <x v="0"/>
    <s v="Noida"/>
    <x v="0"/>
    <s v="Electronics"/>
    <n v="1"/>
    <n v="56000"/>
    <n v="0.05"/>
    <x v="1"/>
    <x v="2"/>
    <n v="56000"/>
    <n v="2800"/>
    <n v="53200"/>
  </r>
  <r>
    <s v="ORD1043"/>
    <x v="42"/>
    <s v="Riya Jain"/>
    <x v="1"/>
    <s v="Pune"/>
    <x v="1"/>
    <s v="Accessories"/>
    <n v="5"/>
    <n v="780"/>
    <n v="0.1"/>
    <x v="0"/>
    <x v="1"/>
    <n v="3900"/>
    <n v="390"/>
    <n v="3510"/>
  </r>
  <r>
    <s v="ORD1044"/>
    <x v="43"/>
    <s v="Vikas Yadav"/>
    <x v="0"/>
    <s v="Delhi"/>
    <x v="2"/>
    <s v="Accessories"/>
    <n v="2"/>
    <n v="1650"/>
    <n v="0.05"/>
    <x v="2"/>
    <x v="0"/>
    <n v="3300"/>
    <n v="165"/>
    <n v="3135"/>
  </r>
  <r>
    <s v="ORD1045"/>
    <x v="44"/>
    <s v="Isha Kapoor"/>
    <x v="2"/>
    <s v="Chennai"/>
    <x v="7"/>
    <s v="Electronics"/>
    <n v="1"/>
    <n v="30000"/>
    <n v="7.0000000000000007E-2"/>
    <x v="1"/>
    <x v="3"/>
    <n v="30000"/>
    <n v="2100"/>
    <n v="27900"/>
  </r>
  <r>
    <s v="ORD1046"/>
    <x v="45"/>
    <s v="Mohit Kumar"/>
    <x v="3"/>
    <s v="Kolkata"/>
    <x v="4"/>
    <s v="Accessories"/>
    <n v="4"/>
    <n v="2250"/>
    <n v="0.05"/>
    <x v="0"/>
    <x v="2"/>
    <n v="9000"/>
    <n v="450"/>
    <n v="8550"/>
  </r>
  <r>
    <s v="ORD1047"/>
    <x v="46"/>
    <s v="Sneha Arora"/>
    <x v="0"/>
    <s v="Gurgaon"/>
    <x v="3"/>
    <s v="Electronics"/>
    <n v="2"/>
    <n v="11900"/>
    <n v="0.1"/>
    <x v="1"/>
    <x v="1"/>
    <n v="23800"/>
    <n v="2380"/>
    <n v="21420"/>
  </r>
  <r>
    <s v="ORD1048"/>
    <x v="47"/>
    <s v="Dev Raj"/>
    <x v="1"/>
    <s v="Mumbai"/>
    <x v="5"/>
    <s v="Electronics"/>
    <n v="1"/>
    <n v="15200"/>
    <n v="0.08"/>
    <x v="0"/>
    <x v="0"/>
    <n v="15200"/>
    <n v="1216"/>
    <n v="13984"/>
  </r>
  <r>
    <s v="ORD1049"/>
    <x v="48"/>
    <s v="Pooja Sharma"/>
    <x v="0"/>
    <s v="Delhi"/>
    <x v="0"/>
    <s v="Electronics"/>
    <n v="1"/>
    <n v="59000"/>
    <n v="0.05"/>
    <x v="2"/>
    <x v="3"/>
    <n v="59000"/>
    <n v="2950"/>
    <n v="56050"/>
  </r>
  <r>
    <s v="ORD1050"/>
    <x v="49"/>
    <s v="Yash Saini"/>
    <x v="2"/>
    <s v="Bangalore"/>
    <x v="1"/>
    <s v="Accessories"/>
    <n v="7"/>
    <n v="820"/>
    <n v="0"/>
    <x v="0"/>
    <x v="2"/>
    <n v="5740"/>
    <n v="0"/>
    <n v="5740"/>
  </r>
  <r>
    <m/>
    <x v="50"/>
    <m/>
    <x v="4"/>
    <m/>
    <x v="8"/>
    <s v="qty sold"/>
    <n v="129"/>
    <m/>
    <m/>
    <x v="3"/>
    <x v="4"/>
    <m/>
    <s v="sum"/>
    <n v="1035533"/>
  </r>
  <r>
    <m/>
    <x v="50"/>
    <m/>
    <x v="4"/>
    <m/>
    <x v="8"/>
    <m/>
    <m/>
    <m/>
    <m/>
    <x v="3"/>
    <x v="4"/>
    <m/>
    <s v="average "/>
    <n v="20710.66"/>
  </r>
  <r>
    <m/>
    <x v="50"/>
    <m/>
    <x v="4"/>
    <m/>
    <x v="8"/>
    <m/>
    <m/>
    <m/>
    <m/>
    <x v="3"/>
    <x v="4"/>
    <m/>
    <s v="max order v"/>
    <n v="102600"/>
  </r>
  <r>
    <m/>
    <x v="50"/>
    <m/>
    <x v="4"/>
    <m/>
    <x v="8"/>
    <m/>
    <m/>
    <m/>
    <m/>
    <x v="3"/>
    <x v="4"/>
    <m/>
    <s v="min order value"/>
    <n v="1520"/>
  </r>
  <r>
    <m/>
    <x v="50"/>
    <s v="net sales in regions "/>
    <x v="4"/>
    <m/>
    <x v="8"/>
    <m/>
    <m/>
    <m/>
    <m/>
    <x v="3"/>
    <x v="4"/>
    <m/>
    <m/>
    <m/>
  </r>
  <r>
    <m/>
    <x v="50"/>
    <s v="north "/>
    <x v="4"/>
    <n v="446058"/>
    <x v="8"/>
    <m/>
    <m/>
    <m/>
    <m/>
    <x v="3"/>
    <x v="4"/>
    <m/>
    <m/>
    <m/>
  </r>
  <r>
    <m/>
    <x v="50"/>
    <s v="south "/>
    <x v="4"/>
    <n v="223765"/>
    <x v="8"/>
    <m/>
    <m/>
    <m/>
    <m/>
    <x v="3"/>
    <x v="4"/>
    <m/>
    <m/>
    <m/>
  </r>
  <r>
    <m/>
    <x v="50"/>
    <s v="east "/>
    <x v="4"/>
    <n v="230680"/>
    <x v="8"/>
    <m/>
    <m/>
    <m/>
    <m/>
    <x v="3"/>
    <x v="4"/>
    <m/>
    <m/>
    <m/>
  </r>
  <r>
    <m/>
    <x v="50"/>
    <s v="west"/>
    <x v="4"/>
    <n v="135030"/>
    <x v="8"/>
    <m/>
    <m/>
    <m/>
    <m/>
    <x v="3"/>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3"/>
    <n v="190962"/>
    <n v="14689.384615384615"/>
  </r>
  <r>
    <x v="1"/>
    <n v="12"/>
    <n v="188436"/>
    <n v="15703"/>
  </r>
  <r>
    <x v="2"/>
    <n v="13"/>
    <n v="195735"/>
    <n v="15056.538461538461"/>
  </r>
  <r>
    <x v="3"/>
    <n v="12"/>
    <n v="460400"/>
    <n v="38366.66666666666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6"/>
    <n v="585455"/>
  </r>
  <r>
    <x v="1"/>
    <n v="11"/>
    <n v="188694"/>
  </r>
  <r>
    <x v="2"/>
    <n v="23"/>
    <n v="261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61FF8-0928-4DAE-8048-77AEF55A28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6" firstHeaderRow="0" firstDataRow="1" firstDataCol="1"/>
  <pivotFields count="17">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axis="axisRow" showAll="0">
      <items count="6">
        <item x="3"/>
        <item x="0"/>
        <item x="2"/>
        <item x="1"/>
        <item h="1" x="4"/>
        <item t="default"/>
      </items>
    </pivotField>
    <pivotField showAll="0"/>
    <pivotField showAll="0">
      <items count="10">
        <item x="4"/>
        <item x="2"/>
        <item x="0"/>
        <item x="3"/>
        <item x="1"/>
        <item x="5"/>
        <item x="7"/>
        <item x="6"/>
        <item x="8"/>
        <item t="default"/>
      </items>
    </pivotField>
    <pivotField showAll="0"/>
    <pivotField dataField="1"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Net Sales " fld="14" baseField="0" baseItem="0"/>
    <dataField name="Sum of Quantity" fld="7" baseField="0" baseItem="0"/>
  </dataFields>
  <chartFormats count="4">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B0565-A4E9-4488-B1F2-42B15D76C5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10" firstHeaderRow="0" firstDataRow="1" firstDataCol="1"/>
  <pivotFields count="17">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items count="6">
        <item x="3"/>
        <item x="0"/>
        <item x="2"/>
        <item x="1"/>
        <item h="1" x="4"/>
        <item t="default"/>
      </items>
    </pivotField>
    <pivotField showAll="0"/>
    <pivotField axis="axisRow" showAll="0">
      <items count="10">
        <item x="4"/>
        <item x="2"/>
        <item x="0"/>
        <item x="3"/>
        <item x="1"/>
        <item x="5"/>
        <item x="7"/>
        <item x="6"/>
        <item x="8"/>
        <item t="default"/>
      </items>
    </pivotField>
    <pivotField showAll="0"/>
    <pivotField dataField="1"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Fields count="1">
    <field x="-2"/>
  </colFields>
  <colItems count="2">
    <i>
      <x/>
    </i>
    <i i="1">
      <x v="1"/>
    </i>
  </colItems>
  <dataFields count="2">
    <dataField name="Sum of Quantity" fld="7" baseField="0" baseItem="0"/>
    <dataField name="Sum of Net Sales " fld="14"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B5560C-4994-4D49-9D4C-BBCF081CAB9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6" firstHeaderRow="0" firstDataRow="1" firstDataCol="1"/>
  <pivotFields count="4">
    <pivotField axis="axisRow" showAll="0">
      <items count="5">
        <item x="0"/>
        <item x="1"/>
        <item x="3"/>
        <item x="2"/>
        <item t="default"/>
      </items>
    </pivotField>
    <pivotField dataField="1" showAll="0"/>
    <pivotField dataField="1" showAll="0"/>
    <pivotField numFmtId="2" showAll="0"/>
  </pivotFields>
  <rowFields count="1">
    <field x="0"/>
  </rowFields>
  <rowItems count="5">
    <i>
      <x/>
    </i>
    <i>
      <x v="1"/>
    </i>
    <i>
      <x v="2"/>
    </i>
    <i>
      <x v="3"/>
    </i>
    <i t="grand">
      <x/>
    </i>
  </rowItems>
  <colFields count="1">
    <field x="-2"/>
  </colFields>
  <colItems count="2">
    <i>
      <x/>
    </i>
    <i i="1">
      <x v="1"/>
    </i>
  </colItems>
  <dataFields count="2">
    <dataField name="Sum of TOTAL ORDER" fld="1" baseField="0" baseItem="0"/>
    <dataField name="Sum of TOTAL NET SAL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CAE02F-A78E-4923-8D7E-CE483C82302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5" firstHeaderRow="0" firstDataRow="1" firstDataCol="1"/>
  <pivotFields count="3">
    <pivotField axis="axisRow" showAll="0">
      <items count="4">
        <item x="0"/>
        <item x="1"/>
        <item x="2"/>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otal order" fld="1" baseField="0" baseItem="0"/>
    <dataField name="Sum of TOTAL NET SALES" fld="2"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pivotArea type="data" outline="0" fieldPosition="0">
        <references count="2">
          <reference field="4294967294" count="1" selected="0">
            <x v="1"/>
          </reference>
          <reference field="0" count="1" selected="0">
            <x v="0"/>
          </reference>
        </references>
      </pivotArea>
    </chartFormat>
    <chartFormat chart="5" format="6">
      <pivotArea type="data" outline="0" fieldPosition="0">
        <references count="2">
          <reference field="4294967294" count="1" selected="0">
            <x v="1"/>
          </reference>
          <reference field="0" count="1" selected="0">
            <x v="1"/>
          </reference>
        </references>
      </pivotArea>
    </chartFormat>
    <chartFormat chart="5" format="7">
      <pivotArea type="data" outline="0" fieldPosition="0">
        <references count="2">
          <reference field="4294967294" count="1" selected="0">
            <x v="1"/>
          </reference>
          <reference field="0"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 chart="7" format="18">
      <pivotArea type="data" outline="0" fieldPosition="0">
        <references count="2">
          <reference field="4294967294" count="1" selected="0">
            <x v="0"/>
          </reference>
          <reference field="0" count="1" selected="0">
            <x v="1"/>
          </reference>
        </references>
      </pivotArea>
    </chartFormat>
    <chartFormat chart="7" format="19">
      <pivotArea type="data" outline="0" fieldPosition="0">
        <references count="2">
          <reference field="4294967294" count="1" selected="0">
            <x v="0"/>
          </reference>
          <reference field="0" count="1" selected="0">
            <x v="2"/>
          </reference>
        </references>
      </pivotArea>
    </chartFormat>
    <chartFormat chart="7" format="20" series="1">
      <pivotArea type="data" outline="0" fieldPosition="0">
        <references count="1">
          <reference field="4294967294" count="1" selected="0">
            <x v="1"/>
          </reference>
        </references>
      </pivotArea>
    </chartFormat>
    <chartFormat chart="7" format="21">
      <pivotArea type="data" outline="0" fieldPosition="0">
        <references count="2">
          <reference field="4294967294" count="1" selected="0">
            <x v="1"/>
          </reference>
          <reference field="0" count="1" selected="0">
            <x v="0"/>
          </reference>
        </references>
      </pivotArea>
    </chartFormat>
    <chartFormat chart="7" format="22">
      <pivotArea type="data" outline="0" fieldPosition="0">
        <references count="2">
          <reference field="4294967294" count="1" selected="0">
            <x v="1"/>
          </reference>
          <reference field="0" count="1" selected="0">
            <x v="1"/>
          </reference>
        </references>
      </pivotArea>
    </chartFormat>
    <chartFormat chart="7" format="23">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C2D8D-376D-4503-8028-1B8EC0AEA3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4" firstHeaderRow="1" firstDataRow="1" firstDataCol="1"/>
  <pivotFields count="17">
    <pivotField showAll="0"/>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items count="6">
        <item x="3"/>
        <item x="0"/>
        <item x="2"/>
        <item x="1"/>
        <item h="1" x="4"/>
        <item t="default"/>
      </items>
    </pivotField>
    <pivotField showAll="0"/>
    <pivotField showAll="0">
      <items count="10">
        <item x="4"/>
        <item x="2"/>
        <item x="0"/>
        <item x="3"/>
        <item x="1"/>
        <item x="5"/>
        <item x="7"/>
        <item x="6"/>
        <item x="8"/>
        <item t="default"/>
      </items>
    </pivotField>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6"/>
  </rowFields>
  <rowItems count="3">
    <i>
      <x v="8"/>
    </i>
    <i>
      <x v="9"/>
    </i>
    <i t="grand">
      <x/>
    </i>
  </rowItems>
  <colItems count="1">
    <i/>
  </colItems>
  <dataFields count="1">
    <dataField name="Sum of Net Sales " fld="14"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F64450-972D-41B5-A34A-1AE291910804}" sourceName="Region">
  <pivotTables>
    <pivotTable tabId="6" name="PivotTable2"/>
    <pivotTable tabId="4" name="PivotTable1"/>
    <pivotTable tabId="13" name="PivotTable7"/>
  </pivotTables>
  <data>
    <tabular pivotCacheId="1801263189">
      <items count="5">
        <i x="3" s="1"/>
        <i x="0" s="1"/>
        <i x="2" s="1"/>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1A1B7C7-0E9F-40B5-93F0-F1C8BFCF4216}" sourceName="payment mode">
  <pivotTables>
    <pivotTable tabId="14" name="PivotTable8"/>
  </pivotTables>
  <data>
    <tabular pivotCacheId="100469704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E48A7E-BE7C-4432-82A9-83ADB72E4A62}" sourceName="Product">
  <pivotTables>
    <pivotTable tabId="6" name="PivotTable2"/>
    <pivotTable tabId="4" name="PivotTable1"/>
    <pivotTable tabId="13" name="PivotTable7"/>
  </pivotTables>
  <data>
    <tabular pivotCacheId="1801263189">
      <items count="9">
        <i x="4" s="1"/>
        <i x="2" s="1"/>
        <i x="0" s="1"/>
        <i x="3" s="1"/>
        <i x="1" s="1"/>
        <i x="5" s="1"/>
        <i x="7" s="1"/>
        <i x="6"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39CA69-42DF-4BD1-A6BE-FFA6C64B6186}" cache="Slicer_Region" caption="Region" rowHeight="234950"/>
  <slicer name="Product" xr10:uid="{AD53F3C4-9B92-4EB0-95AA-29FADE738C87}"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90940E9E-D82F-49FA-8B50-4A3645FD2C47}" cache="Slicer_payment_mode" caption="payment mod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F662C2-99D6-4912-9C32-367ACA3830DA}" cache="Slicer_Region" startItem="2" rowHeight="234950"/>
  <slicer name="payment mode 1" xr10:uid="{DA66EB6B-CBEF-4F08-93EF-5CF34249D97D}" cache="Slicer_payment_mode" rowHeight="234950"/>
  <slicer name="Product 1" xr10:uid="{0DAB75EE-688E-4126-85A9-C11266586799}" cache="Slicer_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5EB4-DEC1-4383-B953-DCF9878C7AB7}">
  <dimension ref="A1:R61"/>
  <sheetViews>
    <sheetView tabSelected="1" workbookViewId="0">
      <selection sqref="A1:O1"/>
    </sheetView>
  </sheetViews>
  <sheetFormatPr defaultRowHeight="14.4" x14ac:dyDescent="0.3"/>
  <cols>
    <col min="1" max="1" width="8.6640625" bestFit="1" customWidth="1"/>
    <col min="2" max="2" width="18.5546875" customWidth="1"/>
    <col min="3" max="3" width="13.77734375" bestFit="1" customWidth="1"/>
    <col min="4" max="4" width="6.5546875" bestFit="1" customWidth="1"/>
    <col min="5" max="5" width="9.21875" bestFit="1" customWidth="1"/>
    <col min="6" max="6" width="11.109375" bestFit="1" customWidth="1"/>
    <col min="7" max="7" width="10.44140625" bestFit="1" customWidth="1"/>
    <col min="8" max="8" width="8" bestFit="1" customWidth="1"/>
    <col min="9" max="9" width="9.44140625" bestFit="1" customWidth="1"/>
    <col min="10" max="10" width="8.109375" bestFit="1" customWidth="1"/>
    <col min="11" max="11" width="14" bestFit="1" customWidth="1"/>
    <col min="12" max="12" width="10.6640625" bestFit="1" customWidth="1"/>
    <col min="14" max="14" width="11.77734375" customWidth="1"/>
    <col min="15" max="15" width="11.109375" customWidth="1"/>
  </cols>
  <sheetData>
    <row r="1" spans="1:18" x14ac:dyDescent="0.3">
      <c r="A1" s="27" t="s">
        <v>0</v>
      </c>
      <c r="B1" s="27" t="s">
        <v>1</v>
      </c>
      <c r="C1" s="27" t="s">
        <v>2</v>
      </c>
      <c r="D1" s="27" t="s">
        <v>3</v>
      </c>
      <c r="E1" s="27" t="s">
        <v>4</v>
      </c>
      <c r="F1" s="27" t="s">
        <v>5</v>
      </c>
      <c r="G1" s="27" t="s">
        <v>6</v>
      </c>
      <c r="H1" s="27" t="s">
        <v>7</v>
      </c>
      <c r="I1" s="27" t="s">
        <v>8</v>
      </c>
      <c r="J1" s="27" t="s">
        <v>9</v>
      </c>
      <c r="K1" s="27" t="s">
        <v>10</v>
      </c>
      <c r="L1" s="27" t="s">
        <v>11</v>
      </c>
      <c r="M1" s="27" t="s">
        <v>125</v>
      </c>
      <c r="N1" s="27" t="s">
        <v>126</v>
      </c>
      <c r="O1" s="27" t="s">
        <v>127</v>
      </c>
    </row>
    <row r="2" spans="1:18" x14ac:dyDescent="0.3">
      <c r="A2" t="s">
        <v>12</v>
      </c>
      <c r="B2" s="2">
        <v>46235</v>
      </c>
      <c r="C2" t="s">
        <v>13</v>
      </c>
      <c r="D2" t="s">
        <v>14</v>
      </c>
      <c r="E2" t="s">
        <v>15</v>
      </c>
      <c r="F2" t="s">
        <v>16</v>
      </c>
      <c r="G2" t="s">
        <v>17</v>
      </c>
      <c r="H2">
        <v>1</v>
      </c>
      <c r="I2">
        <v>55000</v>
      </c>
      <c r="J2" s="3">
        <v>0.05</v>
      </c>
      <c r="K2" t="s">
        <v>18</v>
      </c>
      <c r="L2" t="s">
        <v>19</v>
      </c>
      <c r="M2">
        <f>H2*I2</f>
        <v>55000</v>
      </c>
      <c r="N2" s="4">
        <f>M2*J2</f>
        <v>2750</v>
      </c>
      <c r="O2" s="4">
        <f>M2-N2</f>
        <v>52250</v>
      </c>
    </row>
    <row r="3" spans="1:18" x14ac:dyDescent="0.3">
      <c r="A3" t="s">
        <v>20</v>
      </c>
      <c r="B3" s="2">
        <v>46236</v>
      </c>
      <c r="C3" t="s">
        <v>21</v>
      </c>
      <c r="D3" t="s">
        <v>14</v>
      </c>
      <c r="E3" t="s">
        <v>22</v>
      </c>
      <c r="F3" t="s">
        <v>23</v>
      </c>
      <c r="G3" t="s">
        <v>24</v>
      </c>
      <c r="H3">
        <v>3</v>
      </c>
      <c r="I3">
        <v>800</v>
      </c>
      <c r="J3" s="1">
        <v>0</v>
      </c>
      <c r="K3" t="s">
        <v>25</v>
      </c>
      <c r="L3" t="s">
        <v>26</v>
      </c>
      <c r="M3">
        <f t="shared" ref="M3:M51" si="0">H3*I3</f>
        <v>2400</v>
      </c>
      <c r="N3" s="4">
        <f t="shared" ref="N3:N51" si="1">M3*J3</f>
        <v>0</v>
      </c>
      <c r="O3" s="4">
        <f t="shared" ref="O3:O51" si="2">M3-N3</f>
        <v>2400</v>
      </c>
    </row>
    <row r="4" spans="1:18" x14ac:dyDescent="0.3">
      <c r="A4" t="s">
        <v>27</v>
      </c>
      <c r="B4" s="2">
        <v>46237</v>
      </c>
      <c r="C4" t="s">
        <v>28</v>
      </c>
      <c r="D4" t="s">
        <v>29</v>
      </c>
      <c r="E4" t="s">
        <v>30</v>
      </c>
      <c r="F4" t="s">
        <v>31</v>
      </c>
      <c r="G4" t="s">
        <v>24</v>
      </c>
      <c r="H4">
        <v>2</v>
      </c>
      <c r="I4">
        <v>1500</v>
      </c>
      <c r="J4" s="1">
        <v>0.1</v>
      </c>
      <c r="K4" t="s">
        <v>18</v>
      </c>
      <c r="L4" t="s">
        <v>32</v>
      </c>
      <c r="M4">
        <f t="shared" si="0"/>
        <v>3000</v>
      </c>
      <c r="N4" s="4">
        <f t="shared" si="1"/>
        <v>300</v>
      </c>
      <c r="O4" s="4">
        <f t="shared" si="2"/>
        <v>2700</v>
      </c>
      <c r="R4" s="4"/>
    </row>
    <row r="5" spans="1:18" x14ac:dyDescent="0.3">
      <c r="A5" t="s">
        <v>33</v>
      </c>
      <c r="B5" s="2">
        <v>46238</v>
      </c>
      <c r="C5" t="s">
        <v>34</v>
      </c>
      <c r="D5" t="s">
        <v>14</v>
      </c>
      <c r="E5" t="s">
        <v>15</v>
      </c>
      <c r="F5" t="s">
        <v>35</v>
      </c>
      <c r="G5" t="s">
        <v>17</v>
      </c>
      <c r="H5">
        <v>1</v>
      </c>
      <c r="I5">
        <v>12500</v>
      </c>
      <c r="J5" s="1">
        <v>0.05</v>
      </c>
      <c r="K5" t="s">
        <v>36</v>
      </c>
      <c r="L5" t="s">
        <v>19</v>
      </c>
      <c r="M5">
        <f t="shared" si="0"/>
        <v>12500</v>
      </c>
      <c r="N5" s="4">
        <f t="shared" si="1"/>
        <v>625</v>
      </c>
      <c r="O5" s="4">
        <f t="shared" si="2"/>
        <v>11875</v>
      </c>
    </row>
    <row r="6" spans="1:18" x14ac:dyDescent="0.3">
      <c r="A6" t="s">
        <v>37</v>
      </c>
      <c r="B6" s="2">
        <v>46239</v>
      </c>
      <c r="C6" t="s">
        <v>38</v>
      </c>
      <c r="D6" t="s">
        <v>39</v>
      </c>
      <c r="E6" t="s">
        <v>40</v>
      </c>
      <c r="F6" t="s">
        <v>16</v>
      </c>
      <c r="G6" t="s">
        <v>17</v>
      </c>
      <c r="H6">
        <v>2</v>
      </c>
      <c r="I6">
        <v>52000</v>
      </c>
      <c r="J6" s="1">
        <v>0.08</v>
      </c>
      <c r="K6" t="s">
        <v>25</v>
      </c>
      <c r="L6" t="s">
        <v>41</v>
      </c>
      <c r="M6">
        <f t="shared" si="0"/>
        <v>104000</v>
      </c>
      <c r="N6" s="4">
        <f t="shared" si="1"/>
        <v>8320</v>
      </c>
      <c r="O6" s="4">
        <f t="shared" si="2"/>
        <v>95680</v>
      </c>
    </row>
    <row r="7" spans="1:18" x14ac:dyDescent="0.3">
      <c r="A7" t="s">
        <v>42</v>
      </c>
      <c r="B7" s="2">
        <v>46240</v>
      </c>
      <c r="C7" t="s">
        <v>43</v>
      </c>
      <c r="D7" t="s">
        <v>44</v>
      </c>
      <c r="E7" t="s">
        <v>45</v>
      </c>
      <c r="F7" t="s">
        <v>46</v>
      </c>
      <c r="G7" t="s">
        <v>24</v>
      </c>
      <c r="H7">
        <v>4</v>
      </c>
      <c r="I7">
        <v>2200</v>
      </c>
      <c r="J7" s="1">
        <v>0.05</v>
      </c>
      <c r="K7" t="s">
        <v>18</v>
      </c>
      <c r="L7" t="s">
        <v>32</v>
      </c>
      <c r="M7">
        <f t="shared" si="0"/>
        <v>8800</v>
      </c>
      <c r="N7" s="4">
        <f t="shared" si="1"/>
        <v>440</v>
      </c>
      <c r="O7" s="4">
        <f t="shared" si="2"/>
        <v>8360</v>
      </c>
    </row>
    <row r="8" spans="1:18" x14ac:dyDescent="0.3">
      <c r="A8" t="s">
        <v>47</v>
      </c>
      <c r="B8" s="2">
        <v>46241</v>
      </c>
      <c r="C8" t="s">
        <v>48</v>
      </c>
      <c r="D8" t="s">
        <v>14</v>
      </c>
      <c r="E8" t="s">
        <v>49</v>
      </c>
      <c r="F8" t="s">
        <v>50</v>
      </c>
      <c r="G8" t="s">
        <v>17</v>
      </c>
      <c r="H8">
        <v>1</v>
      </c>
      <c r="I8">
        <v>14500</v>
      </c>
      <c r="J8" s="1">
        <v>0.1</v>
      </c>
      <c r="K8" t="s">
        <v>25</v>
      </c>
      <c r="L8" t="s">
        <v>26</v>
      </c>
      <c r="M8">
        <f t="shared" si="0"/>
        <v>14500</v>
      </c>
      <c r="N8" s="4">
        <f t="shared" si="1"/>
        <v>1450</v>
      </c>
      <c r="O8" s="4">
        <f t="shared" si="2"/>
        <v>13050</v>
      </c>
    </row>
    <row r="9" spans="1:18" x14ac:dyDescent="0.3">
      <c r="A9" t="s">
        <v>51</v>
      </c>
      <c r="B9" s="2">
        <v>46242</v>
      </c>
      <c r="C9" t="s">
        <v>52</v>
      </c>
      <c r="D9" t="s">
        <v>29</v>
      </c>
      <c r="E9" t="s">
        <v>53</v>
      </c>
      <c r="F9" t="s">
        <v>54</v>
      </c>
      <c r="G9" t="s">
        <v>24</v>
      </c>
      <c r="H9">
        <v>5</v>
      </c>
      <c r="I9">
        <v>450</v>
      </c>
      <c r="J9" s="1">
        <v>0</v>
      </c>
      <c r="K9" t="s">
        <v>18</v>
      </c>
      <c r="L9" t="s">
        <v>19</v>
      </c>
      <c r="M9">
        <f t="shared" si="0"/>
        <v>2250</v>
      </c>
      <c r="N9" s="4">
        <f t="shared" si="1"/>
        <v>0</v>
      </c>
      <c r="O9" s="4">
        <f t="shared" si="2"/>
        <v>2250</v>
      </c>
    </row>
    <row r="10" spans="1:18" x14ac:dyDescent="0.3">
      <c r="A10" t="s">
        <v>55</v>
      </c>
      <c r="B10" s="2">
        <v>46243</v>
      </c>
      <c r="C10" t="s">
        <v>56</v>
      </c>
      <c r="D10" t="s">
        <v>14</v>
      </c>
      <c r="E10" t="s">
        <v>15</v>
      </c>
      <c r="F10" t="s">
        <v>57</v>
      </c>
      <c r="G10" t="s">
        <v>17</v>
      </c>
      <c r="H10">
        <v>1</v>
      </c>
      <c r="I10">
        <v>28000</v>
      </c>
      <c r="J10" s="1">
        <v>7.0000000000000007E-2</v>
      </c>
      <c r="K10" t="s">
        <v>36</v>
      </c>
      <c r="L10" t="s">
        <v>41</v>
      </c>
      <c r="M10">
        <f t="shared" si="0"/>
        <v>28000</v>
      </c>
      <c r="N10" s="4">
        <f t="shared" si="1"/>
        <v>1960.0000000000002</v>
      </c>
      <c r="O10" s="4">
        <f t="shared" si="2"/>
        <v>26040</v>
      </c>
    </row>
    <row r="11" spans="1:18" x14ac:dyDescent="0.3">
      <c r="A11" t="s">
        <v>58</v>
      </c>
      <c r="B11" s="2">
        <v>46244</v>
      </c>
      <c r="C11" t="s">
        <v>59</v>
      </c>
      <c r="D11" t="s">
        <v>39</v>
      </c>
      <c r="E11" t="s">
        <v>60</v>
      </c>
      <c r="F11" t="s">
        <v>31</v>
      </c>
      <c r="G11" t="s">
        <v>24</v>
      </c>
      <c r="H11">
        <v>3</v>
      </c>
      <c r="I11">
        <v>1600</v>
      </c>
      <c r="J11" s="1">
        <v>0.05</v>
      </c>
      <c r="K11" t="s">
        <v>18</v>
      </c>
      <c r="L11" t="s">
        <v>32</v>
      </c>
      <c r="M11">
        <f t="shared" si="0"/>
        <v>4800</v>
      </c>
      <c r="N11" s="4">
        <f t="shared" si="1"/>
        <v>240</v>
      </c>
      <c r="O11" s="4">
        <f t="shared" si="2"/>
        <v>4560</v>
      </c>
    </row>
    <row r="12" spans="1:18" x14ac:dyDescent="0.3">
      <c r="A12" t="s">
        <v>61</v>
      </c>
      <c r="B12" s="2">
        <v>46245</v>
      </c>
      <c r="C12" t="s">
        <v>62</v>
      </c>
      <c r="D12" t="s">
        <v>44</v>
      </c>
      <c r="E12" t="s">
        <v>45</v>
      </c>
      <c r="F12" t="s">
        <v>35</v>
      </c>
      <c r="G12" t="s">
        <v>17</v>
      </c>
      <c r="H12">
        <v>2</v>
      </c>
      <c r="I12">
        <v>11800</v>
      </c>
      <c r="J12" s="1">
        <v>0.1</v>
      </c>
      <c r="K12" t="s">
        <v>25</v>
      </c>
      <c r="L12" t="s">
        <v>26</v>
      </c>
      <c r="M12">
        <f t="shared" si="0"/>
        <v>23600</v>
      </c>
      <c r="N12" s="4">
        <f t="shared" si="1"/>
        <v>2360</v>
      </c>
      <c r="O12" s="4">
        <f t="shared" si="2"/>
        <v>21240</v>
      </c>
    </row>
    <row r="13" spans="1:18" x14ac:dyDescent="0.3">
      <c r="A13" t="s">
        <v>63</v>
      </c>
      <c r="B13" s="2">
        <v>46246</v>
      </c>
      <c r="C13" t="s">
        <v>64</v>
      </c>
      <c r="D13" t="s">
        <v>14</v>
      </c>
      <c r="E13" t="s">
        <v>22</v>
      </c>
      <c r="F13" t="s">
        <v>23</v>
      </c>
      <c r="G13" t="s">
        <v>24</v>
      </c>
      <c r="H13">
        <v>6</v>
      </c>
      <c r="I13">
        <v>750</v>
      </c>
      <c r="J13" s="1">
        <v>0.05</v>
      </c>
      <c r="K13" t="s">
        <v>18</v>
      </c>
      <c r="L13" t="s">
        <v>19</v>
      </c>
      <c r="M13">
        <f t="shared" si="0"/>
        <v>4500</v>
      </c>
      <c r="N13" s="4">
        <f t="shared" si="1"/>
        <v>225</v>
      </c>
      <c r="O13" s="4">
        <f t="shared" si="2"/>
        <v>4275</v>
      </c>
    </row>
    <row r="14" spans="1:18" x14ac:dyDescent="0.3">
      <c r="A14" t="s">
        <v>65</v>
      </c>
      <c r="B14" s="2">
        <v>46247</v>
      </c>
      <c r="C14" t="s">
        <v>66</v>
      </c>
      <c r="D14" t="s">
        <v>29</v>
      </c>
      <c r="E14" t="s">
        <v>30</v>
      </c>
      <c r="F14" t="s">
        <v>16</v>
      </c>
      <c r="G14" t="s">
        <v>17</v>
      </c>
      <c r="H14">
        <v>1</v>
      </c>
      <c r="I14">
        <v>60000</v>
      </c>
      <c r="J14" s="1">
        <v>0.1</v>
      </c>
      <c r="K14" t="s">
        <v>25</v>
      </c>
      <c r="L14" t="s">
        <v>41</v>
      </c>
      <c r="M14">
        <f t="shared" si="0"/>
        <v>60000</v>
      </c>
      <c r="N14" s="4">
        <f t="shared" si="1"/>
        <v>6000</v>
      </c>
      <c r="O14" s="4">
        <f t="shared" si="2"/>
        <v>54000</v>
      </c>
    </row>
    <row r="15" spans="1:18" x14ac:dyDescent="0.3">
      <c r="A15" t="s">
        <v>67</v>
      </c>
      <c r="B15" s="2">
        <v>46248</v>
      </c>
      <c r="C15" t="s">
        <v>68</v>
      </c>
      <c r="D15" t="s">
        <v>14</v>
      </c>
      <c r="E15" t="s">
        <v>15</v>
      </c>
      <c r="F15" t="s">
        <v>46</v>
      </c>
      <c r="G15" t="s">
        <v>24</v>
      </c>
      <c r="H15">
        <v>2</v>
      </c>
      <c r="I15">
        <v>2500</v>
      </c>
      <c r="J15" s="1">
        <v>0</v>
      </c>
      <c r="K15" t="s">
        <v>36</v>
      </c>
      <c r="L15" t="s">
        <v>32</v>
      </c>
      <c r="M15">
        <f t="shared" si="0"/>
        <v>5000</v>
      </c>
      <c r="N15" s="4">
        <f t="shared" si="1"/>
        <v>0</v>
      </c>
      <c r="O15" s="4">
        <f t="shared" si="2"/>
        <v>5000</v>
      </c>
    </row>
    <row r="16" spans="1:18" x14ac:dyDescent="0.3">
      <c r="A16" t="s">
        <v>69</v>
      </c>
      <c r="B16" s="2">
        <v>46249</v>
      </c>
      <c r="C16" t="s">
        <v>70</v>
      </c>
      <c r="D16" t="s">
        <v>39</v>
      </c>
      <c r="E16" t="s">
        <v>40</v>
      </c>
      <c r="F16" t="s">
        <v>50</v>
      </c>
      <c r="G16" t="s">
        <v>17</v>
      </c>
      <c r="H16">
        <v>1</v>
      </c>
      <c r="I16">
        <v>15000</v>
      </c>
      <c r="J16" s="1">
        <v>0.05</v>
      </c>
      <c r="K16" t="s">
        <v>18</v>
      </c>
      <c r="L16" t="s">
        <v>26</v>
      </c>
      <c r="M16">
        <f t="shared" si="0"/>
        <v>15000</v>
      </c>
      <c r="N16" s="4">
        <f t="shared" si="1"/>
        <v>750</v>
      </c>
      <c r="O16" s="4">
        <f t="shared" si="2"/>
        <v>14250</v>
      </c>
    </row>
    <row r="17" spans="1:15" x14ac:dyDescent="0.3">
      <c r="A17" t="s">
        <v>71</v>
      </c>
      <c r="B17" s="2">
        <v>46250</v>
      </c>
      <c r="C17" t="s">
        <v>72</v>
      </c>
      <c r="D17" t="s">
        <v>44</v>
      </c>
      <c r="E17" t="s">
        <v>45</v>
      </c>
      <c r="F17" t="s">
        <v>57</v>
      </c>
      <c r="G17" t="s">
        <v>17</v>
      </c>
      <c r="H17">
        <v>2</v>
      </c>
      <c r="I17">
        <v>26500</v>
      </c>
      <c r="J17" s="1">
        <v>0.08</v>
      </c>
      <c r="K17" t="s">
        <v>25</v>
      </c>
      <c r="L17" t="s">
        <v>19</v>
      </c>
      <c r="M17">
        <f t="shared" si="0"/>
        <v>53000</v>
      </c>
      <c r="N17" s="4">
        <f t="shared" si="1"/>
        <v>4240</v>
      </c>
      <c r="O17" s="4">
        <f t="shared" si="2"/>
        <v>48760</v>
      </c>
    </row>
    <row r="18" spans="1:15" x14ac:dyDescent="0.3">
      <c r="A18" t="s">
        <v>73</v>
      </c>
      <c r="B18" s="2">
        <v>46251</v>
      </c>
      <c r="C18" t="s">
        <v>74</v>
      </c>
      <c r="D18" t="s">
        <v>29</v>
      </c>
      <c r="E18" t="s">
        <v>53</v>
      </c>
      <c r="F18" t="s">
        <v>54</v>
      </c>
      <c r="G18" t="s">
        <v>24</v>
      </c>
      <c r="H18">
        <v>8</v>
      </c>
      <c r="I18">
        <v>400</v>
      </c>
      <c r="J18" s="1">
        <v>0</v>
      </c>
      <c r="K18" t="s">
        <v>18</v>
      </c>
      <c r="L18" t="s">
        <v>41</v>
      </c>
      <c r="M18">
        <f t="shared" si="0"/>
        <v>3200</v>
      </c>
      <c r="N18" s="4">
        <f t="shared" si="1"/>
        <v>0</v>
      </c>
      <c r="O18" s="4">
        <f t="shared" si="2"/>
        <v>3200</v>
      </c>
    </row>
    <row r="19" spans="1:15" x14ac:dyDescent="0.3">
      <c r="A19" t="s">
        <v>75</v>
      </c>
      <c r="B19" s="2">
        <v>46252</v>
      </c>
      <c r="C19" t="s">
        <v>76</v>
      </c>
      <c r="D19" t="s">
        <v>14</v>
      </c>
      <c r="E19" t="s">
        <v>49</v>
      </c>
      <c r="F19" t="s">
        <v>35</v>
      </c>
      <c r="G19" t="s">
        <v>17</v>
      </c>
      <c r="H19">
        <v>1</v>
      </c>
      <c r="I19">
        <v>13000</v>
      </c>
      <c r="J19" s="1">
        <v>0.05</v>
      </c>
      <c r="K19" t="s">
        <v>36</v>
      </c>
      <c r="L19" t="s">
        <v>32</v>
      </c>
      <c r="M19">
        <f t="shared" si="0"/>
        <v>13000</v>
      </c>
      <c r="N19" s="4">
        <f t="shared" si="1"/>
        <v>650</v>
      </c>
      <c r="O19" s="4">
        <f t="shared" si="2"/>
        <v>12350</v>
      </c>
    </row>
    <row r="20" spans="1:15" x14ac:dyDescent="0.3">
      <c r="A20" t="s">
        <v>77</v>
      </c>
      <c r="B20" s="2">
        <v>46253</v>
      </c>
      <c r="C20" t="s">
        <v>78</v>
      </c>
      <c r="D20" t="s">
        <v>39</v>
      </c>
      <c r="E20" t="s">
        <v>60</v>
      </c>
      <c r="F20" t="s">
        <v>16</v>
      </c>
      <c r="G20" t="s">
        <v>17</v>
      </c>
      <c r="H20">
        <v>1</v>
      </c>
      <c r="I20">
        <v>57000</v>
      </c>
      <c r="J20" s="1">
        <v>7.0000000000000007E-2</v>
      </c>
      <c r="K20" t="s">
        <v>25</v>
      </c>
      <c r="L20" t="s">
        <v>26</v>
      </c>
      <c r="M20">
        <f t="shared" si="0"/>
        <v>57000</v>
      </c>
      <c r="N20" s="4">
        <f t="shared" si="1"/>
        <v>3990.0000000000005</v>
      </c>
      <c r="O20" s="4">
        <f t="shared" si="2"/>
        <v>53010</v>
      </c>
    </row>
    <row r="21" spans="1:15" x14ac:dyDescent="0.3">
      <c r="A21" t="s">
        <v>79</v>
      </c>
      <c r="B21" s="2">
        <v>46254</v>
      </c>
      <c r="C21" t="s">
        <v>80</v>
      </c>
      <c r="D21" t="s">
        <v>44</v>
      </c>
      <c r="E21" t="s">
        <v>45</v>
      </c>
      <c r="F21" t="s">
        <v>23</v>
      </c>
      <c r="G21" t="s">
        <v>24</v>
      </c>
      <c r="H21">
        <v>4</v>
      </c>
      <c r="I21">
        <v>850</v>
      </c>
      <c r="J21" s="1">
        <v>0.05</v>
      </c>
      <c r="K21" t="s">
        <v>18</v>
      </c>
      <c r="L21" t="s">
        <v>19</v>
      </c>
      <c r="M21">
        <f t="shared" si="0"/>
        <v>3400</v>
      </c>
      <c r="N21" s="4">
        <f t="shared" si="1"/>
        <v>170</v>
      </c>
      <c r="O21" s="4">
        <f t="shared" si="2"/>
        <v>3230</v>
      </c>
    </row>
    <row r="22" spans="1:15" x14ac:dyDescent="0.3">
      <c r="A22" t="s">
        <v>81</v>
      </c>
      <c r="B22" s="2">
        <v>46255</v>
      </c>
      <c r="C22" t="s">
        <v>82</v>
      </c>
      <c r="D22" t="s">
        <v>14</v>
      </c>
      <c r="E22" t="s">
        <v>15</v>
      </c>
      <c r="F22" t="s">
        <v>31</v>
      </c>
      <c r="G22" t="s">
        <v>24</v>
      </c>
      <c r="H22">
        <v>2</v>
      </c>
      <c r="I22">
        <v>1700</v>
      </c>
      <c r="J22" s="1">
        <v>0.1</v>
      </c>
      <c r="K22" t="s">
        <v>25</v>
      </c>
      <c r="L22" t="s">
        <v>41</v>
      </c>
      <c r="M22">
        <f t="shared" si="0"/>
        <v>3400</v>
      </c>
      <c r="N22" s="4">
        <f t="shared" si="1"/>
        <v>340</v>
      </c>
      <c r="O22" s="4">
        <f t="shared" si="2"/>
        <v>3060</v>
      </c>
    </row>
    <row r="23" spans="1:15" x14ac:dyDescent="0.3">
      <c r="A23" t="s">
        <v>83</v>
      </c>
      <c r="B23" s="2">
        <v>46256</v>
      </c>
      <c r="C23" t="s">
        <v>84</v>
      </c>
      <c r="D23" t="s">
        <v>29</v>
      </c>
      <c r="E23" t="s">
        <v>30</v>
      </c>
      <c r="F23" t="s">
        <v>57</v>
      </c>
      <c r="G23" t="s">
        <v>17</v>
      </c>
      <c r="H23">
        <v>1</v>
      </c>
      <c r="I23">
        <v>29000</v>
      </c>
      <c r="J23" s="1">
        <v>0.05</v>
      </c>
      <c r="K23" t="s">
        <v>18</v>
      </c>
      <c r="L23" t="s">
        <v>32</v>
      </c>
      <c r="M23">
        <f t="shared" si="0"/>
        <v>29000</v>
      </c>
      <c r="N23" s="4">
        <f t="shared" si="1"/>
        <v>1450</v>
      </c>
      <c r="O23" s="4">
        <f t="shared" si="2"/>
        <v>27550</v>
      </c>
    </row>
    <row r="24" spans="1:15" x14ac:dyDescent="0.3">
      <c r="A24" t="s">
        <v>85</v>
      </c>
      <c r="B24" s="2">
        <v>46257</v>
      </c>
      <c r="C24" t="s">
        <v>86</v>
      </c>
      <c r="D24" t="s">
        <v>39</v>
      </c>
      <c r="E24" t="s">
        <v>40</v>
      </c>
      <c r="F24" t="s">
        <v>46</v>
      </c>
      <c r="G24" t="s">
        <v>24</v>
      </c>
      <c r="H24">
        <v>5</v>
      </c>
      <c r="I24">
        <v>2300</v>
      </c>
      <c r="J24" s="1">
        <v>0.08</v>
      </c>
      <c r="K24" t="s">
        <v>36</v>
      </c>
      <c r="L24" t="s">
        <v>26</v>
      </c>
      <c r="M24">
        <f t="shared" si="0"/>
        <v>11500</v>
      </c>
      <c r="N24" s="4">
        <f t="shared" si="1"/>
        <v>920</v>
      </c>
      <c r="O24" s="4">
        <f t="shared" si="2"/>
        <v>10580</v>
      </c>
    </row>
    <row r="25" spans="1:15" x14ac:dyDescent="0.3">
      <c r="A25" t="s">
        <v>87</v>
      </c>
      <c r="B25" s="2">
        <v>46258</v>
      </c>
      <c r="C25" t="s">
        <v>88</v>
      </c>
      <c r="D25" t="s">
        <v>14</v>
      </c>
      <c r="E25" t="s">
        <v>22</v>
      </c>
      <c r="F25" t="s">
        <v>50</v>
      </c>
      <c r="G25" t="s">
        <v>17</v>
      </c>
      <c r="H25">
        <v>1</v>
      </c>
      <c r="I25">
        <v>15500</v>
      </c>
      <c r="J25" s="1">
        <v>0.1</v>
      </c>
      <c r="K25" t="s">
        <v>18</v>
      </c>
      <c r="L25" t="s">
        <v>19</v>
      </c>
      <c r="M25">
        <f t="shared" si="0"/>
        <v>15500</v>
      </c>
      <c r="N25" s="4">
        <f t="shared" si="1"/>
        <v>1550</v>
      </c>
      <c r="O25" s="4">
        <f t="shared" si="2"/>
        <v>13950</v>
      </c>
    </row>
    <row r="26" spans="1:15" x14ac:dyDescent="0.3">
      <c r="A26" t="s">
        <v>89</v>
      </c>
      <c r="B26" s="2">
        <v>46259</v>
      </c>
      <c r="C26" t="s">
        <v>90</v>
      </c>
      <c r="D26" t="s">
        <v>44</v>
      </c>
      <c r="E26" t="s">
        <v>45</v>
      </c>
      <c r="F26" t="s">
        <v>16</v>
      </c>
      <c r="G26" t="s">
        <v>17</v>
      </c>
      <c r="H26">
        <v>2</v>
      </c>
      <c r="I26">
        <v>54000</v>
      </c>
      <c r="J26" s="1">
        <v>0.05</v>
      </c>
      <c r="K26" t="s">
        <v>25</v>
      </c>
      <c r="L26" t="s">
        <v>41</v>
      </c>
      <c r="M26">
        <f t="shared" si="0"/>
        <v>108000</v>
      </c>
      <c r="N26" s="4">
        <f t="shared" si="1"/>
        <v>5400</v>
      </c>
      <c r="O26" s="4">
        <f t="shared" si="2"/>
        <v>102600</v>
      </c>
    </row>
    <row r="27" spans="1:15" x14ac:dyDescent="0.3">
      <c r="A27" t="s">
        <v>91</v>
      </c>
      <c r="B27" s="2">
        <v>46260</v>
      </c>
      <c r="C27" t="s">
        <v>92</v>
      </c>
      <c r="D27" t="s">
        <v>29</v>
      </c>
      <c r="E27" t="s">
        <v>53</v>
      </c>
      <c r="F27" t="s">
        <v>23</v>
      </c>
      <c r="G27" t="s">
        <v>24</v>
      </c>
      <c r="H27">
        <v>3</v>
      </c>
      <c r="I27">
        <v>900</v>
      </c>
      <c r="J27" s="1">
        <v>0</v>
      </c>
      <c r="K27" t="s">
        <v>18</v>
      </c>
      <c r="L27" t="s">
        <v>32</v>
      </c>
      <c r="M27">
        <f t="shared" si="0"/>
        <v>2700</v>
      </c>
      <c r="N27" s="4">
        <f t="shared" si="1"/>
        <v>0</v>
      </c>
      <c r="O27" s="4">
        <f t="shared" si="2"/>
        <v>2700</v>
      </c>
    </row>
    <row r="28" spans="1:15" x14ac:dyDescent="0.3">
      <c r="A28" t="s">
        <v>93</v>
      </c>
      <c r="B28" s="2">
        <v>46261</v>
      </c>
      <c r="C28" t="s">
        <v>94</v>
      </c>
      <c r="D28" t="s">
        <v>14</v>
      </c>
      <c r="E28" t="s">
        <v>49</v>
      </c>
      <c r="F28" t="s">
        <v>35</v>
      </c>
      <c r="G28" t="s">
        <v>17</v>
      </c>
      <c r="H28">
        <v>2</v>
      </c>
      <c r="I28">
        <v>12000</v>
      </c>
      <c r="J28" s="1">
        <v>7.0000000000000007E-2</v>
      </c>
      <c r="K28" t="s">
        <v>36</v>
      </c>
      <c r="L28" t="s">
        <v>26</v>
      </c>
      <c r="M28">
        <f t="shared" si="0"/>
        <v>24000</v>
      </c>
      <c r="N28" s="4">
        <f t="shared" si="1"/>
        <v>1680.0000000000002</v>
      </c>
      <c r="O28" s="4">
        <f t="shared" si="2"/>
        <v>22320</v>
      </c>
    </row>
    <row r="29" spans="1:15" x14ac:dyDescent="0.3">
      <c r="A29" t="s">
        <v>95</v>
      </c>
      <c r="B29" s="2">
        <v>46262</v>
      </c>
      <c r="C29" t="s">
        <v>96</v>
      </c>
      <c r="D29" t="s">
        <v>39</v>
      </c>
      <c r="E29" t="s">
        <v>60</v>
      </c>
      <c r="F29" t="s">
        <v>54</v>
      </c>
      <c r="G29" t="s">
        <v>24</v>
      </c>
      <c r="H29">
        <v>10</v>
      </c>
      <c r="I29">
        <v>350</v>
      </c>
      <c r="J29" s="1">
        <v>0.05</v>
      </c>
      <c r="K29" t="s">
        <v>18</v>
      </c>
      <c r="L29" t="s">
        <v>19</v>
      </c>
      <c r="M29">
        <f t="shared" si="0"/>
        <v>3500</v>
      </c>
      <c r="N29" s="4">
        <f t="shared" si="1"/>
        <v>175</v>
      </c>
      <c r="O29" s="4">
        <f t="shared" si="2"/>
        <v>3325</v>
      </c>
    </row>
    <row r="30" spans="1:15" x14ac:dyDescent="0.3">
      <c r="A30" t="s">
        <v>97</v>
      </c>
      <c r="B30" s="2">
        <v>46263</v>
      </c>
      <c r="C30" t="s">
        <v>98</v>
      </c>
      <c r="D30" t="s">
        <v>44</v>
      </c>
      <c r="E30" t="s">
        <v>45</v>
      </c>
      <c r="F30" t="s">
        <v>57</v>
      </c>
      <c r="G30" t="s">
        <v>17</v>
      </c>
      <c r="H30">
        <v>1</v>
      </c>
      <c r="I30">
        <v>27500</v>
      </c>
      <c r="J30" s="1">
        <v>0.1</v>
      </c>
      <c r="K30" t="s">
        <v>25</v>
      </c>
      <c r="L30" t="s">
        <v>41</v>
      </c>
      <c r="M30">
        <f t="shared" si="0"/>
        <v>27500</v>
      </c>
      <c r="N30" s="4">
        <f t="shared" si="1"/>
        <v>2750</v>
      </c>
      <c r="O30" s="4">
        <f t="shared" si="2"/>
        <v>24750</v>
      </c>
    </row>
    <row r="31" spans="1:15" x14ac:dyDescent="0.3">
      <c r="A31" t="s">
        <v>99</v>
      </c>
      <c r="B31" s="2">
        <v>46264</v>
      </c>
      <c r="C31" t="s">
        <v>100</v>
      </c>
      <c r="D31" t="s">
        <v>14</v>
      </c>
      <c r="E31" t="s">
        <v>15</v>
      </c>
      <c r="F31" t="s">
        <v>46</v>
      </c>
      <c r="G31" t="s">
        <v>24</v>
      </c>
      <c r="H31">
        <v>3</v>
      </c>
      <c r="I31">
        <v>2400</v>
      </c>
      <c r="J31" s="1">
        <v>0.05</v>
      </c>
      <c r="K31" t="s">
        <v>18</v>
      </c>
      <c r="L31" t="s">
        <v>32</v>
      </c>
      <c r="M31">
        <f t="shared" si="0"/>
        <v>7200</v>
      </c>
      <c r="N31" s="4">
        <f t="shared" si="1"/>
        <v>360</v>
      </c>
      <c r="O31" s="4">
        <f t="shared" si="2"/>
        <v>6840</v>
      </c>
    </row>
    <row r="32" spans="1:15" x14ac:dyDescent="0.3">
      <c r="A32" t="s">
        <v>101</v>
      </c>
      <c r="B32" s="2">
        <v>46265</v>
      </c>
      <c r="C32" t="s">
        <v>102</v>
      </c>
      <c r="D32" t="s">
        <v>29</v>
      </c>
      <c r="E32" t="s">
        <v>30</v>
      </c>
      <c r="F32" t="s">
        <v>50</v>
      </c>
      <c r="G32" t="s">
        <v>17</v>
      </c>
      <c r="H32">
        <v>1</v>
      </c>
      <c r="I32">
        <v>14800</v>
      </c>
      <c r="J32" s="1">
        <v>0.08</v>
      </c>
      <c r="K32" t="s">
        <v>36</v>
      </c>
      <c r="L32" t="s">
        <v>26</v>
      </c>
      <c r="M32">
        <f t="shared" si="0"/>
        <v>14800</v>
      </c>
      <c r="N32" s="4">
        <f t="shared" si="1"/>
        <v>1184</v>
      </c>
      <c r="O32" s="4">
        <f t="shared" si="2"/>
        <v>13616</v>
      </c>
    </row>
    <row r="33" spans="1:15" x14ac:dyDescent="0.3">
      <c r="A33" t="s">
        <v>103</v>
      </c>
      <c r="B33" s="2">
        <v>46266</v>
      </c>
      <c r="C33" t="s">
        <v>104</v>
      </c>
      <c r="D33" t="s">
        <v>39</v>
      </c>
      <c r="E33" t="s">
        <v>40</v>
      </c>
      <c r="F33" t="s">
        <v>31</v>
      </c>
      <c r="G33" t="s">
        <v>24</v>
      </c>
      <c r="H33">
        <v>4</v>
      </c>
      <c r="I33">
        <v>1550</v>
      </c>
      <c r="J33" s="1">
        <v>0</v>
      </c>
      <c r="K33" t="s">
        <v>25</v>
      </c>
      <c r="L33" t="s">
        <v>19</v>
      </c>
      <c r="M33">
        <f t="shared" si="0"/>
        <v>6200</v>
      </c>
      <c r="N33" s="4">
        <f t="shared" si="1"/>
        <v>0</v>
      </c>
      <c r="O33" s="4">
        <f t="shared" si="2"/>
        <v>6200</v>
      </c>
    </row>
    <row r="34" spans="1:15" x14ac:dyDescent="0.3">
      <c r="A34" t="s">
        <v>105</v>
      </c>
      <c r="B34" s="2">
        <v>46267</v>
      </c>
      <c r="C34" t="s">
        <v>106</v>
      </c>
      <c r="D34" t="s">
        <v>44</v>
      </c>
      <c r="E34" t="s">
        <v>45</v>
      </c>
      <c r="F34" t="s">
        <v>35</v>
      </c>
      <c r="G34" t="s">
        <v>17</v>
      </c>
      <c r="H34">
        <v>1</v>
      </c>
      <c r="I34">
        <v>12200</v>
      </c>
      <c r="J34" s="1">
        <v>0.05</v>
      </c>
      <c r="K34" t="s">
        <v>18</v>
      </c>
      <c r="L34" t="s">
        <v>41</v>
      </c>
      <c r="M34">
        <f t="shared" si="0"/>
        <v>12200</v>
      </c>
      <c r="N34" s="4">
        <f t="shared" si="1"/>
        <v>610</v>
      </c>
      <c r="O34" s="4">
        <f t="shared" si="2"/>
        <v>11590</v>
      </c>
    </row>
    <row r="35" spans="1:15" x14ac:dyDescent="0.3">
      <c r="A35" t="s">
        <v>107</v>
      </c>
      <c r="B35" s="2">
        <v>46268</v>
      </c>
      <c r="C35" t="s">
        <v>108</v>
      </c>
      <c r="D35" t="s">
        <v>14</v>
      </c>
      <c r="E35" t="s">
        <v>22</v>
      </c>
      <c r="F35" t="s">
        <v>16</v>
      </c>
      <c r="G35" t="s">
        <v>17</v>
      </c>
      <c r="H35">
        <v>1</v>
      </c>
      <c r="I35">
        <v>58000</v>
      </c>
      <c r="J35" s="1">
        <v>0.1</v>
      </c>
      <c r="K35" t="s">
        <v>25</v>
      </c>
      <c r="L35" t="s">
        <v>32</v>
      </c>
      <c r="M35">
        <f t="shared" si="0"/>
        <v>58000</v>
      </c>
      <c r="N35" s="4">
        <f t="shared" si="1"/>
        <v>5800</v>
      </c>
      <c r="O35" s="4">
        <f t="shared" si="2"/>
        <v>52200</v>
      </c>
    </row>
    <row r="36" spans="1:15" x14ac:dyDescent="0.3">
      <c r="A36" t="s">
        <v>109</v>
      </c>
      <c r="B36" s="2">
        <v>46269</v>
      </c>
      <c r="C36" t="s">
        <v>94</v>
      </c>
      <c r="D36" t="s">
        <v>14</v>
      </c>
      <c r="E36" t="s">
        <v>49</v>
      </c>
      <c r="F36" t="s">
        <v>23</v>
      </c>
      <c r="G36" t="s">
        <v>24</v>
      </c>
      <c r="H36">
        <v>2</v>
      </c>
      <c r="I36">
        <v>800</v>
      </c>
      <c r="J36" s="1">
        <v>0.05</v>
      </c>
      <c r="K36" t="s">
        <v>18</v>
      </c>
      <c r="L36" t="s">
        <v>26</v>
      </c>
      <c r="M36">
        <f t="shared" si="0"/>
        <v>1600</v>
      </c>
      <c r="N36" s="4">
        <f t="shared" si="1"/>
        <v>80</v>
      </c>
      <c r="O36" s="4">
        <f t="shared" si="2"/>
        <v>1520</v>
      </c>
    </row>
    <row r="37" spans="1:15" x14ac:dyDescent="0.3">
      <c r="A37" t="s">
        <v>110</v>
      </c>
      <c r="B37" s="2">
        <v>46270</v>
      </c>
      <c r="C37" t="s">
        <v>43</v>
      </c>
      <c r="D37" t="s">
        <v>44</v>
      </c>
      <c r="E37" t="s">
        <v>45</v>
      </c>
      <c r="F37" t="s">
        <v>31</v>
      </c>
      <c r="G37" t="s">
        <v>24</v>
      </c>
      <c r="H37">
        <v>1</v>
      </c>
      <c r="I37">
        <v>1600</v>
      </c>
      <c r="J37" s="1">
        <v>0</v>
      </c>
      <c r="K37" t="s">
        <v>36</v>
      </c>
      <c r="L37" t="s">
        <v>19</v>
      </c>
      <c r="M37">
        <f t="shared" si="0"/>
        <v>1600</v>
      </c>
      <c r="N37" s="4">
        <f t="shared" si="1"/>
        <v>0</v>
      </c>
      <c r="O37" s="4">
        <f t="shared" si="2"/>
        <v>1600</v>
      </c>
    </row>
    <row r="38" spans="1:15" x14ac:dyDescent="0.3">
      <c r="A38" t="s">
        <v>111</v>
      </c>
      <c r="B38" s="2">
        <v>46271</v>
      </c>
      <c r="C38" t="s">
        <v>13</v>
      </c>
      <c r="D38" t="s">
        <v>14</v>
      </c>
      <c r="E38" t="s">
        <v>15</v>
      </c>
      <c r="F38" t="s">
        <v>57</v>
      </c>
      <c r="G38" t="s">
        <v>17</v>
      </c>
      <c r="H38">
        <v>2</v>
      </c>
      <c r="I38">
        <v>28500</v>
      </c>
      <c r="J38" s="1">
        <v>7.0000000000000007E-2</v>
      </c>
      <c r="K38" t="s">
        <v>18</v>
      </c>
      <c r="L38" t="s">
        <v>41</v>
      </c>
      <c r="M38">
        <f t="shared" si="0"/>
        <v>57000</v>
      </c>
      <c r="N38" s="4">
        <f t="shared" si="1"/>
        <v>3990.0000000000005</v>
      </c>
      <c r="O38" s="4">
        <f t="shared" si="2"/>
        <v>53010</v>
      </c>
    </row>
    <row r="39" spans="1:15" x14ac:dyDescent="0.3">
      <c r="A39" t="s">
        <v>112</v>
      </c>
      <c r="B39" s="2">
        <v>46272</v>
      </c>
      <c r="C39" t="s">
        <v>21</v>
      </c>
      <c r="D39" t="s">
        <v>14</v>
      </c>
      <c r="E39" t="s">
        <v>22</v>
      </c>
      <c r="F39" t="s">
        <v>46</v>
      </c>
      <c r="G39" t="s">
        <v>24</v>
      </c>
      <c r="H39">
        <v>3</v>
      </c>
      <c r="I39">
        <v>2100</v>
      </c>
      <c r="J39" s="1">
        <v>0.05</v>
      </c>
      <c r="K39" t="s">
        <v>25</v>
      </c>
      <c r="L39" t="s">
        <v>32</v>
      </c>
      <c r="M39">
        <f t="shared" si="0"/>
        <v>6300</v>
      </c>
      <c r="N39" s="4">
        <f t="shared" si="1"/>
        <v>315</v>
      </c>
      <c r="O39" s="4">
        <f t="shared" si="2"/>
        <v>5985</v>
      </c>
    </row>
    <row r="40" spans="1:15" x14ac:dyDescent="0.3">
      <c r="A40" t="s">
        <v>113</v>
      </c>
      <c r="B40" s="2">
        <v>46273</v>
      </c>
      <c r="C40" t="s">
        <v>28</v>
      </c>
      <c r="D40" t="s">
        <v>29</v>
      </c>
      <c r="E40" t="s">
        <v>30</v>
      </c>
      <c r="F40" t="s">
        <v>35</v>
      </c>
      <c r="G40" t="s">
        <v>17</v>
      </c>
      <c r="H40">
        <v>1</v>
      </c>
      <c r="I40">
        <v>12800</v>
      </c>
      <c r="J40" s="1">
        <v>0.1</v>
      </c>
      <c r="K40" t="s">
        <v>18</v>
      </c>
      <c r="L40" t="s">
        <v>26</v>
      </c>
      <c r="M40">
        <f t="shared" si="0"/>
        <v>12800</v>
      </c>
      <c r="N40" s="4">
        <f t="shared" si="1"/>
        <v>1280</v>
      </c>
      <c r="O40" s="4">
        <f t="shared" si="2"/>
        <v>11520</v>
      </c>
    </row>
    <row r="41" spans="1:15" x14ac:dyDescent="0.3">
      <c r="A41" t="s">
        <v>114</v>
      </c>
      <c r="B41" s="2">
        <v>46274</v>
      </c>
      <c r="C41" t="s">
        <v>34</v>
      </c>
      <c r="D41" t="s">
        <v>14</v>
      </c>
      <c r="E41" t="s">
        <v>15</v>
      </c>
      <c r="F41" t="s">
        <v>50</v>
      </c>
      <c r="G41" t="s">
        <v>17</v>
      </c>
      <c r="H41">
        <v>2</v>
      </c>
      <c r="I41">
        <v>14200</v>
      </c>
      <c r="J41" s="1">
        <v>0.08</v>
      </c>
      <c r="K41" t="s">
        <v>36</v>
      </c>
      <c r="L41" t="s">
        <v>19</v>
      </c>
      <c r="M41">
        <f t="shared" si="0"/>
        <v>28400</v>
      </c>
      <c r="N41" s="4">
        <f t="shared" si="1"/>
        <v>2272</v>
      </c>
      <c r="O41" s="4">
        <f t="shared" si="2"/>
        <v>26128</v>
      </c>
    </row>
    <row r="42" spans="1:15" x14ac:dyDescent="0.3">
      <c r="A42" t="s">
        <v>115</v>
      </c>
      <c r="B42" s="2">
        <v>46275</v>
      </c>
      <c r="C42" t="s">
        <v>38</v>
      </c>
      <c r="D42" t="s">
        <v>39</v>
      </c>
      <c r="E42" t="s">
        <v>40</v>
      </c>
      <c r="F42" t="s">
        <v>54</v>
      </c>
      <c r="G42" t="s">
        <v>24</v>
      </c>
      <c r="H42">
        <v>6</v>
      </c>
      <c r="I42">
        <v>420</v>
      </c>
      <c r="J42" s="1">
        <v>0</v>
      </c>
      <c r="K42" t="s">
        <v>18</v>
      </c>
      <c r="L42" t="s">
        <v>41</v>
      </c>
      <c r="M42">
        <f t="shared" si="0"/>
        <v>2520</v>
      </c>
      <c r="N42" s="4">
        <f t="shared" si="1"/>
        <v>0</v>
      </c>
      <c r="O42" s="4">
        <f t="shared" si="2"/>
        <v>2520</v>
      </c>
    </row>
    <row r="43" spans="1:15" x14ac:dyDescent="0.3">
      <c r="A43" t="s">
        <v>116</v>
      </c>
      <c r="B43" s="2">
        <v>46276</v>
      </c>
      <c r="C43" t="s">
        <v>48</v>
      </c>
      <c r="D43" t="s">
        <v>14</v>
      </c>
      <c r="E43" t="s">
        <v>49</v>
      </c>
      <c r="F43" t="s">
        <v>16</v>
      </c>
      <c r="G43" t="s">
        <v>17</v>
      </c>
      <c r="H43">
        <v>1</v>
      </c>
      <c r="I43">
        <v>56000</v>
      </c>
      <c r="J43" s="1">
        <v>0.05</v>
      </c>
      <c r="K43" t="s">
        <v>25</v>
      </c>
      <c r="L43" t="s">
        <v>32</v>
      </c>
      <c r="M43">
        <f t="shared" si="0"/>
        <v>56000</v>
      </c>
      <c r="N43" s="4">
        <f t="shared" si="1"/>
        <v>2800</v>
      </c>
      <c r="O43" s="4">
        <f t="shared" si="2"/>
        <v>53200</v>
      </c>
    </row>
    <row r="44" spans="1:15" x14ac:dyDescent="0.3">
      <c r="A44" t="s">
        <v>117</v>
      </c>
      <c r="B44" s="2">
        <v>46277</v>
      </c>
      <c r="C44" t="s">
        <v>52</v>
      </c>
      <c r="D44" t="s">
        <v>29</v>
      </c>
      <c r="E44" t="s">
        <v>53</v>
      </c>
      <c r="F44" t="s">
        <v>23</v>
      </c>
      <c r="G44" t="s">
        <v>24</v>
      </c>
      <c r="H44">
        <v>5</v>
      </c>
      <c r="I44">
        <v>780</v>
      </c>
      <c r="J44" s="1">
        <v>0.1</v>
      </c>
      <c r="K44" t="s">
        <v>18</v>
      </c>
      <c r="L44" t="s">
        <v>26</v>
      </c>
      <c r="M44">
        <f t="shared" si="0"/>
        <v>3900</v>
      </c>
      <c r="N44" s="4">
        <f t="shared" si="1"/>
        <v>390</v>
      </c>
      <c r="O44" s="4">
        <f t="shared" si="2"/>
        <v>3510</v>
      </c>
    </row>
    <row r="45" spans="1:15" x14ac:dyDescent="0.3">
      <c r="A45" t="s">
        <v>118</v>
      </c>
      <c r="B45" s="2">
        <v>46278</v>
      </c>
      <c r="C45" t="s">
        <v>56</v>
      </c>
      <c r="D45" t="s">
        <v>14</v>
      </c>
      <c r="E45" t="s">
        <v>15</v>
      </c>
      <c r="F45" t="s">
        <v>31</v>
      </c>
      <c r="G45" t="s">
        <v>24</v>
      </c>
      <c r="H45">
        <v>2</v>
      </c>
      <c r="I45">
        <v>1650</v>
      </c>
      <c r="J45" s="1">
        <v>0.05</v>
      </c>
      <c r="K45" t="s">
        <v>36</v>
      </c>
      <c r="L45" t="s">
        <v>19</v>
      </c>
      <c r="M45">
        <f t="shared" si="0"/>
        <v>3300</v>
      </c>
      <c r="N45" s="4">
        <f t="shared" si="1"/>
        <v>165</v>
      </c>
      <c r="O45" s="4">
        <f t="shared" si="2"/>
        <v>3135</v>
      </c>
    </row>
    <row r="46" spans="1:15" x14ac:dyDescent="0.3">
      <c r="A46" t="s">
        <v>119</v>
      </c>
      <c r="B46" s="2">
        <v>46279</v>
      </c>
      <c r="C46" t="s">
        <v>59</v>
      </c>
      <c r="D46" t="s">
        <v>39</v>
      </c>
      <c r="E46" t="s">
        <v>60</v>
      </c>
      <c r="F46" t="s">
        <v>57</v>
      </c>
      <c r="G46" t="s">
        <v>17</v>
      </c>
      <c r="H46">
        <v>1</v>
      </c>
      <c r="I46">
        <v>30000</v>
      </c>
      <c r="J46" s="1">
        <v>7.0000000000000007E-2</v>
      </c>
      <c r="K46" t="s">
        <v>25</v>
      </c>
      <c r="L46" t="s">
        <v>41</v>
      </c>
      <c r="M46">
        <f t="shared" si="0"/>
        <v>30000</v>
      </c>
      <c r="N46" s="4">
        <f t="shared" si="1"/>
        <v>2100</v>
      </c>
      <c r="O46" s="4">
        <f t="shared" si="2"/>
        <v>27900</v>
      </c>
    </row>
    <row r="47" spans="1:15" x14ac:dyDescent="0.3">
      <c r="A47" t="s">
        <v>120</v>
      </c>
      <c r="B47" s="2">
        <v>46280</v>
      </c>
      <c r="C47" t="s">
        <v>62</v>
      </c>
      <c r="D47" t="s">
        <v>44</v>
      </c>
      <c r="E47" t="s">
        <v>45</v>
      </c>
      <c r="F47" t="s">
        <v>46</v>
      </c>
      <c r="G47" t="s">
        <v>24</v>
      </c>
      <c r="H47">
        <v>4</v>
      </c>
      <c r="I47">
        <v>2250</v>
      </c>
      <c r="J47" s="1">
        <v>0.05</v>
      </c>
      <c r="K47" t="s">
        <v>18</v>
      </c>
      <c r="L47" t="s">
        <v>32</v>
      </c>
      <c r="M47">
        <f t="shared" si="0"/>
        <v>9000</v>
      </c>
      <c r="N47" s="4">
        <f t="shared" si="1"/>
        <v>450</v>
      </c>
      <c r="O47" s="4">
        <f t="shared" si="2"/>
        <v>8550</v>
      </c>
    </row>
    <row r="48" spans="1:15" x14ac:dyDescent="0.3">
      <c r="A48" t="s">
        <v>121</v>
      </c>
      <c r="B48" s="2">
        <v>46281</v>
      </c>
      <c r="C48" t="s">
        <v>64</v>
      </c>
      <c r="D48" t="s">
        <v>14</v>
      </c>
      <c r="E48" t="s">
        <v>22</v>
      </c>
      <c r="F48" t="s">
        <v>35</v>
      </c>
      <c r="G48" t="s">
        <v>17</v>
      </c>
      <c r="H48">
        <v>2</v>
      </c>
      <c r="I48">
        <v>11900</v>
      </c>
      <c r="J48" s="1">
        <v>0.1</v>
      </c>
      <c r="K48" t="s">
        <v>25</v>
      </c>
      <c r="L48" t="s">
        <v>26</v>
      </c>
      <c r="M48">
        <f t="shared" si="0"/>
        <v>23800</v>
      </c>
      <c r="N48" s="4">
        <f t="shared" si="1"/>
        <v>2380</v>
      </c>
      <c r="O48" s="4">
        <f t="shared" si="2"/>
        <v>21420</v>
      </c>
    </row>
    <row r="49" spans="1:15" x14ac:dyDescent="0.3">
      <c r="A49" t="s">
        <v>122</v>
      </c>
      <c r="B49" s="2">
        <v>46282</v>
      </c>
      <c r="C49" t="s">
        <v>66</v>
      </c>
      <c r="D49" t="s">
        <v>29</v>
      </c>
      <c r="E49" t="s">
        <v>30</v>
      </c>
      <c r="F49" t="s">
        <v>50</v>
      </c>
      <c r="G49" t="s">
        <v>17</v>
      </c>
      <c r="H49">
        <v>1</v>
      </c>
      <c r="I49">
        <v>15200</v>
      </c>
      <c r="J49" s="1">
        <v>0.08</v>
      </c>
      <c r="K49" t="s">
        <v>18</v>
      </c>
      <c r="L49" t="s">
        <v>19</v>
      </c>
      <c r="M49">
        <f t="shared" si="0"/>
        <v>15200</v>
      </c>
      <c r="N49" s="4">
        <f t="shared" si="1"/>
        <v>1216</v>
      </c>
      <c r="O49" s="4">
        <f t="shared" si="2"/>
        <v>13984</v>
      </c>
    </row>
    <row r="50" spans="1:15" x14ac:dyDescent="0.3">
      <c r="A50" t="s">
        <v>123</v>
      </c>
      <c r="B50" s="2">
        <v>46283</v>
      </c>
      <c r="C50" t="s">
        <v>68</v>
      </c>
      <c r="D50" t="s">
        <v>14</v>
      </c>
      <c r="E50" t="s">
        <v>15</v>
      </c>
      <c r="F50" t="s">
        <v>16</v>
      </c>
      <c r="G50" t="s">
        <v>17</v>
      </c>
      <c r="H50">
        <v>1</v>
      </c>
      <c r="I50">
        <v>59000</v>
      </c>
      <c r="J50" s="1">
        <v>0.05</v>
      </c>
      <c r="K50" t="s">
        <v>36</v>
      </c>
      <c r="L50" t="s">
        <v>41</v>
      </c>
      <c r="M50">
        <f t="shared" si="0"/>
        <v>59000</v>
      </c>
      <c r="N50" s="4">
        <f t="shared" si="1"/>
        <v>2950</v>
      </c>
      <c r="O50" s="4">
        <f t="shared" si="2"/>
        <v>56050</v>
      </c>
    </row>
    <row r="51" spans="1:15" x14ac:dyDescent="0.3">
      <c r="A51" t="s">
        <v>124</v>
      </c>
      <c r="B51" s="2">
        <v>46284</v>
      </c>
      <c r="C51" t="s">
        <v>70</v>
      </c>
      <c r="D51" t="s">
        <v>39</v>
      </c>
      <c r="E51" t="s">
        <v>40</v>
      </c>
      <c r="F51" t="s">
        <v>23</v>
      </c>
      <c r="G51" t="s">
        <v>24</v>
      </c>
      <c r="H51">
        <v>7</v>
      </c>
      <c r="I51">
        <v>820</v>
      </c>
      <c r="J51" s="1">
        <v>0</v>
      </c>
      <c r="K51" t="s">
        <v>18</v>
      </c>
      <c r="L51" t="s">
        <v>32</v>
      </c>
      <c r="M51">
        <f t="shared" si="0"/>
        <v>5740</v>
      </c>
      <c r="N51" s="4">
        <f t="shared" si="1"/>
        <v>0</v>
      </c>
      <c r="O51" s="4">
        <f t="shared" si="2"/>
        <v>5740</v>
      </c>
    </row>
    <row r="52" spans="1:15" x14ac:dyDescent="0.3">
      <c r="B52" s="2"/>
      <c r="J52" s="1"/>
      <c r="N52" s="4"/>
      <c r="O52" s="4"/>
    </row>
    <row r="53" spans="1:15" x14ac:dyDescent="0.3">
      <c r="B53" s="2"/>
      <c r="G53" t="s">
        <v>132</v>
      </c>
      <c r="H53">
        <f>SUM(H1:H51)</f>
        <v>129</v>
      </c>
      <c r="N53" t="s">
        <v>128</v>
      </c>
      <c r="O53" s="4">
        <f>SUM(O2:O51)</f>
        <v>1035533</v>
      </c>
    </row>
    <row r="54" spans="1:15" x14ac:dyDescent="0.3">
      <c r="N54" t="s">
        <v>129</v>
      </c>
      <c r="O54" s="4">
        <f>AVERAGE(O2:O51)</f>
        <v>20710.66</v>
      </c>
    </row>
    <row r="55" spans="1:15" x14ac:dyDescent="0.3">
      <c r="N55" t="s">
        <v>130</v>
      </c>
      <c r="O55" s="4">
        <f>MAX(O2:O51)</f>
        <v>102600</v>
      </c>
    </row>
    <row r="56" spans="1:15" x14ac:dyDescent="0.3">
      <c r="N56" t="s">
        <v>131</v>
      </c>
      <c r="O56" s="4">
        <f>MIN(O2:O51)</f>
        <v>1520</v>
      </c>
    </row>
    <row r="57" spans="1:15" x14ac:dyDescent="0.3">
      <c r="C57" t="s">
        <v>133</v>
      </c>
    </row>
    <row r="58" spans="1:15" x14ac:dyDescent="0.3">
      <c r="C58" t="s">
        <v>134</v>
      </c>
      <c r="E58">
        <f>SUMIF(D2:D51,"north",O2:O51)</f>
        <v>446058</v>
      </c>
      <c r="O58" s="4"/>
    </row>
    <row r="59" spans="1:15" x14ac:dyDescent="0.3">
      <c r="C59" t="s">
        <v>135</v>
      </c>
      <c r="E59">
        <f ca="1">SUMIF(D2:D53,"south",O2:O51)</f>
        <v>223765</v>
      </c>
    </row>
    <row r="60" spans="1:15" x14ac:dyDescent="0.3">
      <c r="C60" t="s">
        <v>136</v>
      </c>
      <c r="E60">
        <f>SUMIF(D2:D51,"east",O2:O51)</f>
        <v>230680</v>
      </c>
    </row>
    <row r="61" spans="1:15" x14ac:dyDescent="0.3">
      <c r="C61" t="s">
        <v>137</v>
      </c>
      <c r="E61">
        <f>SUMIF(D2:D51,"west",O2:O51)</f>
        <v>135030</v>
      </c>
    </row>
  </sheetData>
  <autoFilter ref="A1:O51" xr:uid="{C9345EB4-DEC1-4383-B953-DCF9878C7AB7}"/>
  <conditionalFormatting sqref="A1:A32">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7C43-BE94-4FA4-8F93-9B14F0885EB1}">
  <dimension ref="A1:C11"/>
  <sheetViews>
    <sheetView workbookViewId="0">
      <selection sqref="A1:C1"/>
    </sheetView>
  </sheetViews>
  <sheetFormatPr defaultRowHeight="14.4" x14ac:dyDescent="0.3"/>
  <cols>
    <col min="1" max="1" width="10.88671875" bestFit="1" customWidth="1"/>
    <col min="2" max="2" width="10.5546875" bestFit="1" customWidth="1"/>
    <col min="3" max="3" width="15.88671875" bestFit="1" customWidth="1"/>
    <col min="9" max="9" width="10.6640625" bestFit="1" customWidth="1"/>
    <col min="10" max="10" width="9.77734375" bestFit="1" customWidth="1"/>
    <col min="11" max="11" width="11.6640625" bestFit="1" customWidth="1"/>
    <col min="12" max="12" width="11.109375" bestFit="1" customWidth="1"/>
  </cols>
  <sheetData>
    <row r="1" spans="1:3" x14ac:dyDescent="0.3">
      <c r="A1" s="27" t="s">
        <v>174</v>
      </c>
      <c r="B1" s="27" t="s">
        <v>177</v>
      </c>
      <c r="C1" s="27" t="s">
        <v>178</v>
      </c>
    </row>
    <row r="2" spans="1:3" x14ac:dyDescent="0.3">
      <c r="A2" t="s">
        <v>138</v>
      </c>
      <c r="B2">
        <f>SUMIF('Raw Data '!F2:F51,"laptop",'Raw Data '!H2:H51)</f>
        <v>10</v>
      </c>
      <c r="C2">
        <f>SUMIF('Raw Data '!F2:F51,"laptop",'Raw Data '!O2:O51)</f>
        <v>518990</v>
      </c>
    </row>
    <row r="3" spans="1:3" x14ac:dyDescent="0.3">
      <c r="A3" t="s">
        <v>139</v>
      </c>
      <c r="B3">
        <f>SUMIF('Raw Data '!F2:F51,"mouse",'Raw Data '!H2:H51)</f>
        <v>30</v>
      </c>
      <c r="C3">
        <f>SUMIF('Raw Data '!F2:F51,"mouse",'Raw Data '!O2:O51)</f>
        <v>23375</v>
      </c>
    </row>
    <row r="4" spans="1:3" x14ac:dyDescent="0.3">
      <c r="A4" t="s">
        <v>140</v>
      </c>
      <c r="B4">
        <f>SUMIF('Raw Data '!F2:F51,"keyboard",'Raw Data '!H2:H51)</f>
        <v>14</v>
      </c>
      <c r="C4">
        <f>SUMIF('Raw Data '!F2:F51,"keyboard",'Raw Data '!O2:O51)</f>
        <v>21255</v>
      </c>
    </row>
    <row r="5" spans="1:3" x14ac:dyDescent="0.3">
      <c r="A5" t="s">
        <v>141</v>
      </c>
      <c r="B5">
        <f>SUMIF('Raw Data '!F2:F51,"monitor",'Raw Data '!H2:H51)</f>
        <v>10</v>
      </c>
      <c r="C5">
        <f>SUMIF('Raw Data '!F2:F51,"monitor",'Raw Data '!O2:O51)</f>
        <v>112315</v>
      </c>
    </row>
    <row r="6" spans="1:3" x14ac:dyDescent="0.3">
      <c r="A6" t="s">
        <v>145</v>
      </c>
      <c r="B6">
        <f>SUMIF('Raw Data '!F2:F51,"headphones",'Raw Data '!H2:H51)</f>
        <v>21</v>
      </c>
      <c r="C6">
        <f>SUMIF('Raw Data '!F2:F51,"headphones",'Raw Data '!O2:O51)</f>
        <v>45315</v>
      </c>
    </row>
    <row r="7" spans="1:3" x14ac:dyDescent="0.3">
      <c r="A7" t="s">
        <v>142</v>
      </c>
      <c r="B7">
        <f>SUMIF('Raw Data '!F2:F51,"printer",'Raw Data '!H2:H51)</f>
        <v>7</v>
      </c>
      <c r="C7">
        <f>SUMIF('Raw Data '!F2:F51,"printer",'Raw Data '!O2:O51)</f>
        <v>94978</v>
      </c>
    </row>
    <row r="8" spans="1:3" x14ac:dyDescent="0.3">
      <c r="A8" t="s">
        <v>143</v>
      </c>
      <c r="B8">
        <f>SUMIF('Raw Data '!F2:F51,"usb cable",'Raw Data '!H2:H51)</f>
        <v>29</v>
      </c>
      <c r="C8">
        <f>SUMIF('Raw Data '!F2:F51,"usb cable",'Raw Data '!O2:O51)</f>
        <v>11295</v>
      </c>
    </row>
    <row r="9" spans="1:3" x14ac:dyDescent="0.3">
      <c r="A9" t="s">
        <v>144</v>
      </c>
      <c r="B9">
        <f>SUMIF('Raw Data '!F2:F51,"tablet",'Raw Data '!H2:H51)</f>
        <v>8</v>
      </c>
      <c r="C9">
        <f>SUMIF('Raw Data '!F2:F51,"tablet",'Raw Data '!O2:O51)</f>
        <v>208010</v>
      </c>
    </row>
    <row r="11" spans="1:3" x14ac:dyDescent="0.3">
      <c r="A11" t="s">
        <v>146</v>
      </c>
      <c r="B11">
        <f>MAX('Product Analysis '!B2:B9)</f>
        <v>30</v>
      </c>
      <c r="C11">
        <f>MAX(C2:C9)</f>
        <v>518990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64FF-192E-4492-9E13-6B86030A3D73}">
  <dimension ref="A1:D5"/>
  <sheetViews>
    <sheetView workbookViewId="0">
      <selection sqref="A1:D1"/>
    </sheetView>
  </sheetViews>
  <sheetFormatPr defaultRowHeight="14.4" x14ac:dyDescent="0.3"/>
  <cols>
    <col min="1" max="1" width="12.88671875" bestFit="1" customWidth="1"/>
    <col min="2" max="2" width="12.5546875" bestFit="1" customWidth="1"/>
    <col min="3" max="3" width="15.44140625" bestFit="1" customWidth="1"/>
    <col min="4" max="4" width="19.88671875" bestFit="1" customWidth="1"/>
  </cols>
  <sheetData>
    <row r="1" spans="1:4" x14ac:dyDescent="0.3">
      <c r="A1" s="27" t="s">
        <v>148</v>
      </c>
      <c r="B1" s="27" t="s">
        <v>149</v>
      </c>
      <c r="C1" s="27" t="s">
        <v>150</v>
      </c>
      <c r="D1" s="27" t="s">
        <v>151</v>
      </c>
    </row>
    <row r="2" spans="1:4" x14ac:dyDescent="0.3">
      <c r="A2" t="s">
        <v>147</v>
      </c>
      <c r="B2">
        <f>COUNTIF('Raw Data '!L2:L51,"Ankit")</f>
        <v>13</v>
      </c>
      <c r="C2">
        <f>SUMIF('Raw Data '!L2:L51,"Ankit",'Raw Data '!O2:O51)</f>
        <v>190962</v>
      </c>
      <c r="D2" s="4">
        <f>AVERAGEIF('Raw Data '!L2:L51,"Ankit",'Raw Data '!O2:O51)</f>
        <v>14689.384615384615</v>
      </c>
    </row>
    <row r="3" spans="1:4" x14ac:dyDescent="0.3">
      <c r="A3" t="s">
        <v>26</v>
      </c>
      <c r="B3">
        <f>COUNTIF('Raw Data '!L2:L51,"Neha")</f>
        <v>12</v>
      </c>
      <c r="C3">
        <f>SUMIF('Raw Data '!L2:L51,"Neha",'Raw Data '!O2:O51)</f>
        <v>188436</v>
      </c>
      <c r="D3" s="4">
        <f>AVERAGEIF('Raw Data '!L2:L51,"Neha",'Raw Data '!O2:O51)</f>
        <v>15703</v>
      </c>
    </row>
    <row r="4" spans="1:4" x14ac:dyDescent="0.3">
      <c r="A4" t="s">
        <v>32</v>
      </c>
      <c r="B4">
        <f>COUNTIF('Raw Data '!L2:L51,"Rohit")</f>
        <v>13</v>
      </c>
      <c r="C4">
        <f>SUMIF('Raw Data '!L2:L51,"Rohit",'Raw Data '!O2:O51)</f>
        <v>195735</v>
      </c>
      <c r="D4" s="4">
        <f>AVERAGEIF('Raw Data '!L2:L51,"Rohit",'Raw Data '!O2:O51)</f>
        <v>15056.538461538461</v>
      </c>
    </row>
    <row r="5" spans="1:4" x14ac:dyDescent="0.3">
      <c r="A5" t="s">
        <v>41</v>
      </c>
      <c r="B5">
        <f>COUNTIF('Raw Data '!L2:L51,"Priya")</f>
        <v>12</v>
      </c>
      <c r="C5">
        <f>SUMIF('Raw Data '!L2:L51,"Priya",'Raw Data '!O2:O51)</f>
        <v>460400</v>
      </c>
      <c r="D5" s="4">
        <f>AVERAGEIF('Raw Data '!L2:L51,"Priya",'Raw Data '!O2:O51)</f>
        <v>38366.666666666664</v>
      </c>
    </row>
  </sheetData>
  <pageMargins left="0.7" right="0.7" top="0.75" bottom="0.75" header="0.3" footer="0.3"/>
  <ignoredErrors>
    <ignoredError sqref="D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53529-82EE-46B7-9183-583AAE31A48F}">
  <dimension ref="A1:D17"/>
  <sheetViews>
    <sheetView workbookViewId="0">
      <selection activeCell="B18" sqref="B18"/>
    </sheetView>
  </sheetViews>
  <sheetFormatPr defaultRowHeight="14.4" x14ac:dyDescent="0.3"/>
  <cols>
    <col min="1" max="1" width="12.5546875" bestFit="1" customWidth="1"/>
    <col min="2" max="2" width="15.6640625" bestFit="1" customWidth="1"/>
    <col min="3" max="3" width="14.88671875" bestFit="1" customWidth="1"/>
  </cols>
  <sheetData>
    <row r="1" spans="1:4" x14ac:dyDescent="0.3">
      <c r="A1" s="5" t="s">
        <v>152</v>
      </c>
      <c r="B1" t="s">
        <v>154</v>
      </c>
      <c r="C1" t="s">
        <v>155</v>
      </c>
    </row>
    <row r="2" spans="1:4" x14ac:dyDescent="0.3">
      <c r="A2" s="6" t="s">
        <v>44</v>
      </c>
      <c r="B2">
        <v>230680</v>
      </c>
      <c r="C2">
        <v>21</v>
      </c>
      <c r="D2">
        <f>GETPIVOTDATA("Sum of Net Sales ",$A$1,"Region","East")/GETPIVOTDATA("Sum of Quantity",$A$1,"Region","East")</f>
        <v>10984.761904761905</v>
      </c>
    </row>
    <row r="3" spans="1:4" x14ac:dyDescent="0.3">
      <c r="A3" s="6" t="s">
        <v>14</v>
      </c>
      <c r="B3">
        <v>446058</v>
      </c>
      <c r="C3">
        <v>40</v>
      </c>
      <c r="D3">
        <f>GETPIVOTDATA("Sum of Net Sales ",$A$1,"Region","North")/GETPIVOTDATA("Sum of Quantity",$A$1,"Region","North")</f>
        <v>11151.45</v>
      </c>
    </row>
    <row r="4" spans="1:4" x14ac:dyDescent="0.3">
      <c r="A4" s="6" t="s">
        <v>39</v>
      </c>
      <c r="B4">
        <v>223765</v>
      </c>
      <c r="C4">
        <v>40</v>
      </c>
      <c r="D4">
        <f>GETPIVOTDATA("Sum of Net Sales ",$A$1,"Region","South")/GETPIVOTDATA("Sum of Quantity",$A$1,"Region","South")</f>
        <v>5594.125</v>
      </c>
    </row>
    <row r="5" spans="1:4" x14ac:dyDescent="0.3">
      <c r="A5" s="6" t="s">
        <v>29</v>
      </c>
      <c r="B5">
        <v>135030</v>
      </c>
      <c r="C5">
        <v>28</v>
      </c>
      <c r="D5">
        <f>GETPIVOTDATA("Sum of Net Sales ",$A$1,"Region","West")/GETPIVOTDATA("Sum of Quantity",$A$1,"Region","West")</f>
        <v>4822.5</v>
      </c>
    </row>
    <row r="6" spans="1:4" x14ac:dyDescent="0.3">
      <c r="A6" s="6" t="s">
        <v>153</v>
      </c>
      <c r="B6">
        <v>1035533</v>
      </c>
      <c r="C6">
        <v>129</v>
      </c>
    </row>
    <row r="17" spans="2:2" x14ac:dyDescent="0.3">
      <c r="B17">
        <f>GETPIVOTDATA("Sum of Net Sales ",$A$1,"Region","North")/GETPIVOTDATA("Sum of Net Sales ",$A$1)*100</f>
        <v>43.075208612376429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22E6-7593-4DA9-B721-ABF0ED91F603}">
  <dimension ref="A1:D10"/>
  <sheetViews>
    <sheetView workbookViewId="0">
      <selection activeCell="D2" sqref="D2:D9"/>
    </sheetView>
  </sheetViews>
  <sheetFormatPr defaultRowHeight="14.4" x14ac:dyDescent="0.3"/>
  <cols>
    <col min="1" max="1" width="12.5546875" bestFit="1" customWidth="1"/>
    <col min="2" max="2" width="14.88671875" bestFit="1" customWidth="1"/>
    <col min="3" max="3" width="15.6640625" bestFit="1" customWidth="1"/>
  </cols>
  <sheetData>
    <row r="1" spans="1:4" x14ac:dyDescent="0.3">
      <c r="A1" s="5" t="s">
        <v>152</v>
      </c>
      <c r="B1" t="s">
        <v>155</v>
      </c>
      <c r="C1" t="s">
        <v>154</v>
      </c>
    </row>
    <row r="2" spans="1:4" x14ac:dyDescent="0.3">
      <c r="A2" s="6" t="s">
        <v>46</v>
      </c>
      <c r="B2">
        <v>21</v>
      </c>
      <c r="C2">
        <v>45315</v>
      </c>
      <c r="D2">
        <f>GETPIVOTDATA("Sum of Net Sales ",$A$1,"Product","Headphones")/GETPIVOTDATA("Sum of Quantity",$A$1,"Product","Headphones")</f>
        <v>2157.8571428571427</v>
      </c>
    </row>
    <row r="3" spans="1:4" x14ac:dyDescent="0.3">
      <c r="A3" s="6" t="s">
        <v>31</v>
      </c>
      <c r="B3">
        <v>14</v>
      </c>
      <c r="C3">
        <v>21255</v>
      </c>
      <c r="D3">
        <f>GETPIVOTDATA("Sum of Net Sales ",$A$1,"Product","Keyboard")/GETPIVOTDATA("Sum of Quantity",$A$1,"Product","Keyboard")</f>
        <v>1518.2142857142858</v>
      </c>
    </row>
    <row r="4" spans="1:4" x14ac:dyDescent="0.3">
      <c r="A4" s="6" t="s">
        <v>16</v>
      </c>
      <c r="B4">
        <v>10</v>
      </c>
      <c r="C4">
        <v>518990</v>
      </c>
      <c r="D4">
        <f>GETPIVOTDATA("Sum of Net Sales ",$A$1,"Product","Laptop")/GETPIVOTDATA("Sum of Quantity",$A$1,"Product","Laptop")</f>
        <v>51899</v>
      </c>
    </row>
    <row r="5" spans="1:4" x14ac:dyDescent="0.3">
      <c r="A5" s="6" t="s">
        <v>35</v>
      </c>
      <c r="B5">
        <v>10</v>
      </c>
      <c r="C5">
        <v>112315</v>
      </c>
      <c r="D5">
        <f>GETPIVOTDATA("Sum of Net Sales ",$A$1,"Product","Monitor")/GETPIVOTDATA("Sum of Quantity",$A$1,"Product","Monitor")</f>
        <v>11231.5</v>
      </c>
    </row>
    <row r="6" spans="1:4" x14ac:dyDescent="0.3">
      <c r="A6" s="6" t="s">
        <v>23</v>
      </c>
      <c r="B6">
        <v>30</v>
      </c>
      <c r="C6">
        <v>23375</v>
      </c>
      <c r="D6">
        <f>GETPIVOTDATA("Sum of Net Sales ",$A$1,"Product","Mouse")/GETPIVOTDATA("Sum of Quantity",$A$1,"Product","Mouse")</f>
        <v>779.16666666666663</v>
      </c>
    </row>
    <row r="7" spans="1:4" x14ac:dyDescent="0.3">
      <c r="A7" s="6" t="s">
        <v>50</v>
      </c>
      <c r="B7">
        <v>7</v>
      </c>
      <c r="C7">
        <v>94978</v>
      </c>
      <c r="D7">
        <f>GETPIVOTDATA("Sum of Net Sales ",$A$1,"Product","Printer")/GETPIVOTDATA("Sum of Quantity",$A$1,"Product","Printer")</f>
        <v>13568.285714285714</v>
      </c>
    </row>
    <row r="8" spans="1:4" x14ac:dyDescent="0.3">
      <c r="A8" s="6" t="s">
        <v>57</v>
      </c>
      <c r="B8">
        <v>8</v>
      </c>
      <c r="C8">
        <v>208010</v>
      </c>
      <c r="D8">
        <f>GETPIVOTDATA("Sum of Net Sales ",$A$1,"Product","Tablet")/GETPIVOTDATA("Sum of Quantity",$A$1,"Product","Tablet")</f>
        <v>26001.25</v>
      </c>
    </row>
    <row r="9" spans="1:4" x14ac:dyDescent="0.3">
      <c r="A9" s="6" t="s">
        <v>54</v>
      </c>
      <c r="B9">
        <v>29</v>
      </c>
      <c r="C9">
        <v>11295</v>
      </c>
      <c r="D9">
        <f>GETPIVOTDATA("Sum of Net Sales ",$A$1,"Product","USB Cable")/GETPIVOTDATA("Sum of Quantity",$A$1,"Product","USB Cable")</f>
        <v>389.48275862068965</v>
      </c>
    </row>
    <row r="10" spans="1:4" x14ac:dyDescent="0.3">
      <c r="A10" s="6" t="s">
        <v>153</v>
      </c>
      <c r="B10">
        <v>129</v>
      </c>
      <c r="C10">
        <v>1035533</v>
      </c>
    </row>
  </sheetData>
  <conditionalFormatting sqref="D2:D9">
    <cfRule type="top10" dxfId="0"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91C9-B745-42B4-B543-7D83C3899BFF}">
  <dimension ref="A1:C6"/>
  <sheetViews>
    <sheetView workbookViewId="0"/>
  </sheetViews>
  <sheetFormatPr defaultRowHeight="14.4" x14ac:dyDescent="0.3"/>
  <cols>
    <col min="1" max="1" width="12.5546875" bestFit="1" customWidth="1"/>
    <col min="2" max="2" width="19.33203125" bestFit="1" customWidth="1"/>
    <col min="3" max="3" width="22.5546875" bestFit="1" customWidth="1"/>
  </cols>
  <sheetData>
    <row r="1" spans="1:3" x14ac:dyDescent="0.3">
      <c r="A1" s="5" t="s">
        <v>152</v>
      </c>
      <c r="B1" t="s">
        <v>156</v>
      </c>
      <c r="C1" t="s">
        <v>157</v>
      </c>
    </row>
    <row r="2" spans="1:3" x14ac:dyDescent="0.3">
      <c r="A2" s="6" t="s">
        <v>147</v>
      </c>
      <c r="B2">
        <v>13</v>
      </c>
      <c r="C2">
        <v>190962</v>
      </c>
    </row>
    <row r="3" spans="1:3" x14ac:dyDescent="0.3">
      <c r="A3" s="6" t="s">
        <v>26</v>
      </c>
      <c r="B3">
        <v>12</v>
      </c>
      <c r="C3">
        <v>188436</v>
      </c>
    </row>
    <row r="4" spans="1:3" x14ac:dyDescent="0.3">
      <c r="A4" s="6" t="s">
        <v>41</v>
      </c>
      <c r="B4">
        <v>12</v>
      </c>
      <c r="C4">
        <v>460400</v>
      </c>
    </row>
    <row r="5" spans="1:3" x14ac:dyDescent="0.3">
      <c r="A5" s="6" t="s">
        <v>32</v>
      </c>
      <c r="B5">
        <v>13</v>
      </c>
      <c r="C5">
        <v>195735</v>
      </c>
    </row>
    <row r="6" spans="1:3" x14ac:dyDescent="0.3">
      <c r="A6" s="6" t="s">
        <v>153</v>
      </c>
      <c r="B6">
        <v>50</v>
      </c>
      <c r="C6">
        <v>1035533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A123-3CFE-4444-90A7-F71E052E42B4}">
  <dimension ref="A1:C5"/>
  <sheetViews>
    <sheetView workbookViewId="0"/>
  </sheetViews>
  <sheetFormatPr defaultRowHeight="14.4" x14ac:dyDescent="0.3"/>
  <cols>
    <col min="1" max="1" width="12.5546875" bestFit="1" customWidth="1"/>
    <col min="2" max="2" width="16.44140625" bestFit="1" customWidth="1"/>
    <col min="3" max="3" width="22.5546875" bestFit="1" customWidth="1"/>
  </cols>
  <sheetData>
    <row r="1" spans="1:3" x14ac:dyDescent="0.3">
      <c r="A1" s="5" t="s">
        <v>152</v>
      </c>
      <c r="B1" t="s">
        <v>163</v>
      </c>
      <c r="C1" t="s">
        <v>157</v>
      </c>
    </row>
    <row r="2" spans="1:3" x14ac:dyDescent="0.3">
      <c r="A2" s="6" t="s">
        <v>160</v>
      </c>
      <c r="B2">
        <v>16</v>
      </c>
      <c r="C2">
        <v>585455</v>
      </c>
    </row>
    <row r="3" spans="1:3" x14ac:dyDescent="0.3">
      <c r="A3" s="6" t="s">
        <v>161</v>
      </c>
      <c r="B3">
        <v>11</v>
      </c>
      <c r="C3">
        <v>188694</v>
      </c>
    </row>
    <row r="4" spans="1:3" x14ac:dyDescent="0.3">
      <c r="A4" s="6" t="s">
        <v>162</v>
      </c>
      <c r="B4">
        <v>23</v>
      </c>
      <c r="C4">
        <v>261384</v>
      </c>
    </row>
    <row r="5" spans="1:3" x14ac:dyDescent="0.3">
      <c r="A5" s="6" t="s">
        <v>153</v>
      </c>
      <c r="B5">
        <v>50</v>
      </c>
      <c r="C5">
        <v>1035533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0C41-2621-4102-B2B8-5FF6BF4E9F6D}">
  <dimension ref="A1:B4"/>
  <sheetViews>
    <sheetView workbookViewId="0"/>
  </sheetViews>
  <sheetFormatPr defaultRowHeight="14.4" x14ac:dyDescent="0.3"/>
  <cols>
    <col min="1" max="1" width="12.5546875" bestFit="1" customWidth="1"/>
    <col min="2" max="2" width="15.6640625" bestFit="1" customWidth="1"/>
  </cols>
  <sheetData>
    <row r="1" spans="1:2" x14ac:dyDescent="0.3">
      <c r="A1" s="5" t="s">
        <v>152</v>
      </c>
      <c r="B1" t="s">
        <v>154</v>
      </c>
    </row>
    <row r="2" spans="1:2" x14ac:dyDescent="0.3">
      <c r="A2" s="6" t="s">
        <v>158</v>
      </c>
      <c r="B2">
        <v>669771</v>
      </c>
    </row>
    <row r="3" spans="1:2" x14ac:dyDescent="0.3">
      <c r="A3" s="6" t="s">
        <v>159</v>
      </c>
      <c r="B3">
        <v>365762</v>
      </c>
    </row>
    <row r="4" spans="1:2" x14ac:dyDescent="0.3">
      <c r="A4" s="6" t="s">
        <v>153</v>
      </c>
      <c r="B4">
        <v>1035533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26D2-63C4-4B45-A02D-6566EE278D24}">
  <dimension ref="A1:L55"/>
  <sheetViews>
    <sheetView showGridLines="0" zoomScale="83" zoomScaleNormal="83" workbookViewId="0">
      <selection activeCell="J5" sqref="J5"/>
    </sheetView>
  </sheetViews>
  <sheetFormatPr defaultRowHeight="14.4" x14ac:dyDescent="0.3"/>
  <cols>
    <col min="5" max="5" width="12.109375" customWidth="1"/>
    <col min="8" max="8" width="9.77734375" customWidth="1"/>
  </cols>
  <sheetData>
    <row r="1" spans="1:12" x14ac:dyDescent="0.3">
      <c r="A1" s="11" t="s">
        <v>164</v>
      </c>
      <c r="B1" s="12"/>
      <c r="C1" s="12"/>
      <c r="D1" s="12"/>
      <c r="E1" s="12"/>
      <c r="F1" s="12"/>
      <c r="G1" s="12"/>
      <c r="H1" s="12"/>
      <c r="I1" s="12"/>
      <c r="J1" s="12"/>
      <c r="K1" s="12"/>
      <c r="L1" s="12"/>
    </row>
    <row r="2" spans="1:12" x14ac:dyDescent="0.3">
      <c r="A2" s="12"/>
      <c r="B2" s="12"/>
      <c r="C2" s="12"/>
      <c r="D2" s="12"/>
      <c r="E2" s="12"/>
      <c r="F2" s="12"/>
      <c r="G2" s="12"/>
      <c r="H2" s="12"/>
      <c r="I2" s="12"/>
      <c r="J2" s="12"/>
      <c r="K2" s="12"/>
      <c r="L2" s="12"/>
    </row>
    <row r="3" spans="1:12" x14ac:dyDescent="0.3">
      <c r="D3" s="21" t="s">
        <v>165</v>
      </c>
      <c r="E3" s="22"/>
      <c r="F3" s="22"/>
    </row>
    <row r="4" spans="1:12" x14ac:dyDescent="0.3">
      <c r="D4" s="8"/>
      <c r="E4" s="7"/>
      <c r="F4" s="7"/>
    </row>
    <row r="5" spans="1:12" x14ac:dyDescent="0.3">
      <c r="C5" s="25" t="s">
        <v>176</v>
      </c>
      <c r="D5" s="26"/>
      <c r="E5" s="26"/>
      <c r="F5" s="26"/>
      <c r="G5" s="26"/>
      <c r="H5" s="26"/>
    </row>
    <row r="6" spans="1:12" x14ac:dyDescent="0.3">
      <c r="D6" s="8"/>
      <c r="E6" s="7"/>
      <c r="F6" s="7"/>
    </row>
    <row r="7" spans="1:12" x14ac:dyDescent="0.3">
      <c r="D7" s="8"/>
      <c r="E7" s="7"/>
      <c r="F7" s="7"/>
      <c r="G7" s="7"/>
    </row>
    <row r="8" spans="1:12" x14ac:dyDescent="0.3">
      <c r="B8" s="15" t="s">
        <v>173</v>
      </c>
      <c r="C8" s="16"/>
      <c r="D8" s="8"/>
      <c r="E8" s="15" t="s">
        <v>174</v>
      </c>
      <c r="F8" s="16"/>
      <c r="I8" s="15" t="s">
        <v>175</v>
      </c>
      <c r="J8" s="16"/>
      <c r="K8" s="16"/>
    </row>
    <row r="9" spans="1:12" x14ac:dyDescent="0.3">
      <c r="D9" s="8"/>
      <c r="E9" s="7"/>
      <c r="F9" s="7"/>
    </row>
    <row r="10" spans="1:12" x14ac:dyDescent="0.3">
      <c r="D10" s="8"/>
      <c r="E10" s="7"/>
      <c r="F10" s="7"/>
    </row>
    <row r="11" spans="1:12" x14ac:dyDescent="0.3">
      <c r="D11" s="8"/>
      <c r="E11" s="7"/>
      <c r="F11" s="7"/>
    </row>
    <row r="12" spans="1:12" x14ac:dyDescent="0.3">
      <c r="D12" s="8"/>
      <c r="E12" s="7"/>
      <c r="F12" s="7"/>
    </row>
    <row r="13" spans="1:12" x14ac:dyDescent="0.3">
      <c r="D13" s="8"/>
      <c r="E13" s="7"/>
      <c r="F13" s="7"/>
    </row>
    <row r="15" spans="1:12" ht="15" thickBot="1" x14ac:dyDescent="0.35"/>
    <row r="16" spans="1:12" x14ac:dyDescent="0.3">
      <c r="B16" s="17" t="s">
        <v>166</v>
      </c>
      <c r="C16" s="18"/>
      <c r="E16" s="17" t="s">
        <v>167</v>
      </c>
      <c r="F16" s="18"/>
      <c r="H16" s="17" t="s">
        <v>168</v>
      </c>
      <c r="I16" s="18"/>
      <c r="K16" s="17" t="s">
        <v>169</v>
      </c>
      <c r="L16" s="18"/>
    </row>
    <row r="17" spans="2:12" ht="15" thickBot="1" x14ac:dyDescent="0.35">
      <c r="B17" s="19">
        <v>1035533</v>
      </c>
      <c r="C17" s="20"/>
      <c r="E17" s="23">
        <v>50</v>
      </c>
      <c r="F17" s="24"/>
      <c r="H17" s="23">
        <v>129</v>
      </c>
      <c r="I17" s="24"/>
      <c r="K17" s="19">
        <v>20710.66</v>
      </c>
      <c r="L17" s="20"/>
    </row>
    <row r="20" spans="2:12" x14ac:dyDescent="0.3">
      <c r="G20" s="13" t="s">
        <v>170</v>
      </c>
      <c r="H20" s="14"/>
      <c r="I20" s="14"/>
    </row>
    <row r="22" spans="2:12" x14ac:dyDescent="0.3">
      <c r="B22" s="9"/>
    </row>
    <row r="36" spans="7:9" x14ac:dyDescent="0.3">
      <c r="G36" s="13" t="s">
        <v>171</v>
      </c>
      <c r="H36" s="14"/>
      <c r="I36" s="14"/>
    </row>
    <row r="55" spans="8:8" x14ac:dyDescent="0.3">
      <c r="H55" s="10" t="s">
        <v>172</v>
      </c>
    </row>
  </sheetData>
  <mergeCells count="16">
    <mergeCell ref="A1:L2"/>
    <mergeCell ref="G20:I20"/>
    <mergeCell ref="G36:I36"/>
    <mergeCell ref="B8:C8"/>
    <mergeCell ref="E8:F8"/>
    <mergeCell ref="I8:K8"/>
    <mergeCell ref="K16:L16"/>
    <mergeCell ref="K17:L17"/>
    <mergeCell ref="D3:F3"/>
    <mergeCell ref="B16:C16"/>
    <mergeCell ref="B17:C17"/>
    <mergeCell ref="E16:F16"/>
    <mergeCell ref="E17:F17"/>
    <mergeCell ref="H16:I16"/>
    <mergeCell ref="H17:I17"/>
    <mergeCell ref="C5:H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B602-E943-4009-AA2D-61512BD1893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 </vt:lpstr>
      <vt:lpstr>Product Analysis </vt:lpstr>
      <vt:lpstr>Salesperson Analysis</vt:lpstr>
      <vt:lpstr>Region pvc</vt:lpstr>
      <vt:lpstr>Product pvc</vt:lpstr>
      <vt:lpstr>Salesperson pvc</vt:lpstr>
      <vt:lpstr>Pay mode pvc</vt:lpstr>
      <vt:lpstr>sale trend</vt:lpstr>
      <vt:lpstr>Dashboard</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Kanika Bainiwal</dc:creator>
  <cp:lastModifiedBy>Kanika Bainiwal</cp:lastModifiedBy>
  <dcterms:created xsi:type="dcterms:W3CDTF">2026-08-13T15:41:06Z</dcterms:created>
  <dcterms:modified xsi:type="dcterms:W3CDTF">2026-10-07T19:28:55Z</dcterms:modified>
</cp:coreProperties>
</file>